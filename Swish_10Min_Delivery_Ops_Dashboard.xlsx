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asir\OneDrive\Desktop\"/>
    </mc:Choice>
  </mc:AlternateContent>
  <xr:revisionPtr revIDLastSave="0" documentId="13_ncr:1_{CF90DAF5-F3B3-4BAC-96A4-6F7174F11F9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Executive Dashboard" sheetId="1" r:id="rId1"/>
    <sheet name="Daily Order Tracker" sheetId="2" r:id="rId2"/>
    <sheet name="Hourly_Helper" sheetId="3" state="hidden" r:id="rId3"/>
    <sheet name="Kitchen Operations Tracker" sheetId="4" r:id="rId4"/>
    <sheet name="Food Preparation Monitor" sheetId="5" r:id="rId5"/>
    <sheet name="Rider Performance Tracker" sheetId="6" r:id="rId6"/>
    <sheet name="Zone Performance" sheetId="7" r:id="rId7"/>
    <sheet name="Inventory Tracker" sheetId="8" r:id="rId8"/>
    <sheet name="Rider Attendance" sheetId="9" r:id="rId9"/>
    <sheet name="Customer Complaints" sheetId="10" r:id="rId10"/>
    <sheet name="Cancellation &amp; Refund Tracker" sheetId="11" r:id="rId11"/>
  </sheets>
  <definedNames>
    <definedName name="_xlnm._FilterDatabase" localSheetId="10" hidden="1">'Cancellation &amp; Refund Tracker'!$A$3:$G$13</definedName>
    <definedName name="_xlnm._FilterDatabase" localSheetId="9" hidden="1">'Customer Complaints'!$A$3:$G$18</definedName>
    <definedName name="_xlnm._FilterDatabase" localSheetId="1" hidden="1">'Daily Order Tracker'!$A$3:$S$93</definedName>
    <definedName name="_xlnm._FilterDatabase" localSheetId="4" hidden="1">'Food Preparation Monitor'!$A$3:$H$23</definedName>
    <definedName name="_xlnm._FilterDatabase" localSheetId="7" hidden="1">'Inventory Tracker'!$A$3:$G$23</definedName>
    <definedName name="_xlnm._FilterDatabase" localSheetId="3" hidden="1">'Kitchen Operations Tracker'!$A$3:$K$13</definedName>
    <definedName name="_xlnm._FilterDatabase" localSheetId="8" hidden="1">'Rider Attendance'!$A$3:$H$63</definedName>
    <definedName name="_xlnm._FilterDatabase" localSheetId="5" hidden="1">'Rider Performance Tracker'!$A$3:$M$23</definedName>
    <definedName name="_xlnm._FilterDatabase" localSheetId="6" hidden="1">'Zone Performance'!$A$3:$I$13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5" i="1" l="1"/>
  <c r="I5" i="1"/>
  <c r="C13" i="11"/>
  <c r="E13" i="11" s="1"/>
  <c r="B13" i="11"/>
  <c r="C12" i="11"/>
  <c r="E12" i="11" s="1"/>
  <c r="B12" i="11"/>
  <c r="E11" i="11"/>
  <c r="C11" i="11"/>
  <c r="B11" i="11"/>
  <c r="C10" i="11"/>
  <c r="E10" i="11" s="1"/>
  <c r="B10" i="11"/>
  <c r="E9" i="11"/>
  <c r="C9" i="11"/>
  <c r="B9" i="11"/>
  <c r="C8" i="11"/>
  <c r="E8" i="11" s="1"/>
  <c r="B8" i="11"/>
  <c r="E7" i="11"/>
  <c r="C7" i="11"/>
  <c r="B7" i="11"/>
  <c r="C6" i="11"/>
  <c r="E6" i="11" s="1"/>
  <c r="B6" i="11"/>
  <c r="E5" i="11"/>
  <c r="C5" i="11"/>
  <c r="B5" i="11"/>
  <c r="C4" i="11"/>
  <c r="E4" i="11" s="1"/>
  <c r="B4" i="11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G63" i="9"/>
  <c r="C63" i="9"/>
  <c r="G62" i="9"/>
  <c r="C62" i="9"/>
  <c r="C61" i="9"/>
  <c r="G60" i="9"/>
  <c r="C60" i="9"/>
  <c r="G59" i="9"/>
  <c r="C59" i="9"/>
  <c r="G58" i="9"/>
  <c r="C58" i="9"/>
  <c r="G57" i="9"/>
  <c r="C57" i="9"/>
  <c r="G56" i="9"/>
  <c r="C56" i="9"/>
  <c r="G55" i="9"/>
  <c r="C55" i="9"/>
  <c r="G54" i="9"/>
  <c r="C54" i="9"/>
  <c r="G53" i="9"/>
  <c r="C53" i="9"/>
  <c r="G52" i="9"/>
  <c r="C52" i="9"/>
  <c r="G51" i="9"/>
  <c r="C51" i="9"/>
  <c r="G50" i="9"/>
  <c r="C50" i="9"/>
  <c r="G49" i="9"/>
  <c r="C49" i="9"/>
  <c r="G48" i="9"/>
  <c r="C48" i="9"/>
  <c r="G47" i="9"/>
  <c r="C47" i="9"/>
  <c r="G46" i="9"/>
  <c r="C46" i="9"/>
  <c r="G45" i="9"/>
  <c r="C45" i="9"/>
  <c r="G44" i="9"/>
  <c r="C44" i="9"/>
  <c r="C43" i="9"/>
  <c r="G42" i="9"/>
  <c r="C42" i="9"/>
  <c r="C41" i="9"/>
  <c r="G40" i="9"/>
  <c r="C40" i="9"/>
  <c r="G39" i="9"/>
  <c r="C39" i="9"/>
  <c r="C38" i="9"/>
  <c r="G37" i="9"/>
  <c r="C37" i="9"/>
  <c r="G36" i="9"/>
  <c r="C36" i="9"/>
  <c r="G35" i="9"/>
  <c r="C35" i="9"/>
  <c r="G34" i="9"/>
  <c r="C34" i="9"/>
  <c r="G33" i="9"/>
  <c r="C33" i="9"/>
  <c r="G32" i="9"/>
  <c r="C32" i="9"/>
  <c r="G31" i="9"/>
  <c r="C31" i="9"/>
  <c r="C30" i="9"/>
  <c r="G29" i="9"/>
  <c r="C29" i="9"/>
  <c r="G28" i="9"/>
  <c r="C28" i="9"/>
  <c r="G27" i="9"/>
  <c r="C27" i="9"/>
  <c r="G26" i="9"/>
  <c r="C26" i="9"/>
  <c r="G25" i="9"/>
  <c r="C25" i="9"/>
  <c r="G24" i="9"/>
  <c r="C24" i="9"/>
  <c r="C23" i="9"/>
  <c r="G22" i="9"/>
  <c r="C22" i="9"/>
  <c r="G21" i="9"/>
  <c r="C21" i="9"/>
  <c r="G20" i="9"/>
  <c r="C20" i="9"/>
  <c r="G19" i="9"/>
  <c r="C19" i="9"/>
  <c r="G18" i="9"/>
  <c r="C18" i="9"/>
  <c r="G17" i="9"/>
  <c r="C17" i="9"/>
  <c r="G16" i="9"/>
  <c r="C16" i="9"/>
  <c r="G15" i="9"/>
  <c r="C15" i="9"/>
  <c r="G14" i="9"/>
  <c r="C14" i="9"/>
  <c r="G13" i="9"/>
  <c r="C13" i="9"/>
  <c r="G12" i="9"/>
  <c r="C12" i="9"/>
  <c r="G11" i="9"/>
  <c r="C11" i="9"/>
  <c r="G10" i="9"/>
  <c r="C10" i="9"/>
  <c r="C9" i="9"/>
  <c r="G8" i="9"/>
  <c r="C8" i="9"/>
  <c r="G7" i="9"/>
  <c r="C7" i="9"/>
  <c r="G6" i="9"/>
  <c r="C6" i="9"/>
  <c r="G5" i="9"/>
  <c r="C5" i="9"/>
  <c r="C4" i="9"/>
  <c r="E23" i="8"/>
  <c r="G23" i="8" s="1"/>
  <c r="E22" i="8"/>
  <c r="G22" i="8" s="1"/>
  <c r="E21" i="8"/>
  <c r="G21" i="8" s="1"/>
  <c r="E20" i="8"/>
  <c r="G20" i="8" s="1"/>
  <c r="E19" i="8"/>
  <c r="G19" i="8" s="1"/>
  <c r="E18" i="8"/>
  <c r="G18" i="8" s="1"/>
  <c r="E17" i="8"/>
  <c r="G17" i="8" s="1"/>
  <c r="E16" i="8"/>
  <c r="G16" i="8" s="1"/>
  <c r="E15" i="8"/>
  <c r="G15" i="8" s="1"/>
  <c r="E14" i="8"/>
  <c r="G14" i="8" s="1"/>
  <c r="E13" i="8"/>
  <c r="G13" i="8" s="1"/>
  <c r="E12" i="8"/>
  <c r="G12" i="8" s="1"/>
  <c r="E11" i="8"/>
  <c r="G11" i="8" s="1"/>
  <c r="E10" i="8"/>
  <c r="G10" i="8" s="1"/>
  <c r="E9" i="8"/>
  <c r="G9" i="8" s="1"/>
  <c r="E8" i="8"/>
  <c r="G8" i="8" s="1"/>
  <c r="E7" i="8"/>
  <c r="G7" i="8" s="1"/>
  <c r="E6" i="8"/>
  <c r="G6" i="8" s="1"/>
  <c r="E5" i="8"/>
  <c r="G5" i="8" s="1"/>
  <c r="E4" i="8"/>
  <c r="G4" i="8" s="1"/>
  <c r="G13" i="7"/>
  <c r="F13" i="7"/>
  <c r="C13" i="7"/>
  <c r="B13" i="7"/>
  <c r="H13" i="7" s="1"/>
  <c r="E26" i="1" s="1"/>
  <c r="H12" i="7"/>
  <c r="G12" i="7"/>
  <c r="F12" i="7"/>
  <c r="C12" i="7"/>
  <c r="B12" i="7"/>
  <c r="G11" i="7"/>
  <c r="F11" i="7"/>
  <c r="C11" i="7"/>
  <c r="B11" i="7"/>
  <c r="H11" i="7" s="1"/>
  <c r="E24" i="1" s="1"/>
  <c r="G10" i="7"/>
  <c r="F10" i="7"/>
  <c r="C10" i="7"/>
  <c r="B10" i="7"/>
  <c r="H10" i="7" s="1"/>
  <c r="E23" i="1" s="1"/>
  <c r="H9" i="7"/>
  <c r="G9" i="7"/>
  <c r="F9" i="7"/>
  <c r="C9" i="7"/>
  <c r="B9" i="7"/>
  <c r="H8" i="7"/>
  <c r="G8" i="7"/>
  <c r="F8" i="7"/>
  <c r="C8" i="7"/>
  <c r="B8" i="7"/>
  <c r="G7" i="7"/>
  <c r="F7" i="7"/>
  <c r="C7" i="7"/>
  <c r="B7" i="7"/>
  <c r="H7" i="7" s="1"/>
  <c r="G6" i="7"/>
  <c r="F6" i="7"/>
  <c r="C6" i="7"/>
  <c r="B6" i="7"/>
  <c r="H6" i="7" s="1"/>
  <c r="E19" i="1" s="1"/>
  <c r="H5" i="7"/>
  <c r="G5" i="7"/>
  <c r="F5" i="7"/>
  <c r="C5" i="7"/>
  <c r="B5" i="7"/>
  <c r="H4" i="7"/>
  <c r="G4" i="7"/>
  <c r="F4" i="7"/>
  <c r="C4" i="7"/>
  <c r="B4" i="7"/>
  <c r="F23" i="6"/>
  <c r="L23" i="6" s="1"/>
  <c r="E23" i="6"/>
  <c r="F22" i="6"/>
  <c r="L22" i="6" s="1"/>
  <c r="K22" i="6" s="1"/>
  <c r="E22" i="6"/>
  <c r="M22" i="6" s="1"/>
  <c r="M21" i="6"/>
  <c r="F21" i="6"/>
  <c r="L21" i="6" s="1"/>
  <c r="E21" i="6"/>
  <c r="M20" i="6"/>
  <c r="F20" i="6"/>
  <c r="L20" i="6" s="1"/>
  <c r="E20" i="6"/>
  <c r="F19" i="6"/>
  <c r="L19" i="6" s="1"/>
  <c r="E19" i="6"/>
  <c r="F18" i="6"/>
  <c r="L18" i="6" s="1"/>
  <c r="K18" i="6" s="1"/>
  <c r="E18" i="6"/>
  <c r="M18" i="6" s="1"/>
  <c r="M17" i="6"/>
  <c r="F17" i="6"/>
  <c r="L17" i="6" s="1"/>
  <c r="E17" i="6"/>
  <c r="M16" i="6"/>
  <c r="F16" i="6"/>
  <c r="L16" i="6" s="1"/>
  <c r="E16" i="6"/>
  <c r="F15" i="6"/>
  <c r="L15" i="6" s="1"/>
  <c r="E15" i="6"/>
  <c r="F14" i="6"/>
  <c r="L14" i="6" s="1"/>
  <c r="K14" i="6" s="1"/>
  <c r="E14" i="6"/>
  <c r="M14" i="6" s="1"/>
  <c r="M13" i="6"/>
  <c r="F13" i="6"/>
  <c r="L13" i="6" s="1"/>
  <c r="E13" i="6"/>
  <c r="M12" i="6"/>
  <c r="F12" i="6"/>
  <c r="L12" i="6" s="1"/>
  <c r="E12" i="6"/>
  <c r="F11" i="6"/>
  <c r="L11" i="6" s="1"/>
  <c r="E11" i="6"/>
  <c r="F10" i="6"/>
  <c r="L10" i="6" s="1"/>
  <c r="K10" i="6" s="1"/>
  <c r="E10" i="6"/>
  <c r="M10" i="6" s="1"/>
  <c r="M9" i="6"/>
  <c r="F9" i="6"/>
  <c r="L9" i="6" s="1"/>
  <c r="E9" i="6"/>
  <c r="M8" i="6"/>
  <c r="F8" i="6"/>
  <c r="L8" i="6" s="1"/>
  <c r="E8" i="6"/>
  <c r="F7" i="6"/>
  <c r="L7" i="6" s="1"/>
  <c r="E7" i="6"/>
  <c r="F6" i="6"/>
  <c r="L6" i="6" s="1"/>
  <c r="K6" i="6" s="1"/>
  <c r="E6" i="6"/>
  <c r="M6" i="6" s="1"/>
  <c r="M5" i="6"/>
  <c r="F5" i="6"/>
  <c r="L5" i="6" s="1"/>
  <c r="E5" i="6"/>
  <c r="M4" i="6"/>
  <c r="F4" i="6"/>
  <c r="L4" i="6" s="1"/>
  <c r="E4" i="6"/>
  <c r="F23" i="5"/>
  <c r="H23" i="5" s="1"/>
  <c r="H22" i="5"/>
  <c r="F22" i="5"/>
  <c r="F21" i="5"/>
  <c r="H21" i="5" s="1"/>
  <c r="H20" i="5"/>
  <c r="F20" i="5"/>
  <c r="F19" i="5"/>
  <c r="H19" i="5" s="1"/>
  <c r="H18" i="5"/>
  <c r="F18" i="5"/>
  <c r="F17" i="5"/>
  <c r="H17" i="5" s="1"/>
  <c r="H16" i="5"/>
  <c r="F16" i="5"/>
  <c r="F15" i="5"/>
  <c r="H15" i="5" s="1"/>
  <c r="H14" i="5"/>
  <c r="F14" i="5"/>
  <c r="F13" i="5"/>
  <c r="H13" i="5" s="1"/>
  <c r="H12" i="5"/>
  <c r="F12" i="5"/>
  <c r="F11" i="5"/>
  <c r="H11" i="5" s="1"/>
  <c r="H10" i="5"/>
  <c r="F10" i="5"/>
  <c r="F9" i="5"/>
  <c r="H9" i="5" s="1"/>
  <c r="H8" i="5"/>
  <c r="F8" i="5"/>
  <c r="F7" i="5"/>
  <c r="H7" i="5" s="1"/>
  <c r="H6" i="5"/>
  <c r="F6" i="5"/>
  <c r="F5" i="5"/>
  <c r="H5" i="5" s="1"/>
  <c r="H4" i="5"/>
  <c r="F4" i="5"/>
  <c r="G13" i="4"/>
  <c r="F13" i="4"/>
  <c r="E13" i="4"/>
  <c r="G12" i="4"/>
  <c r="F12" i="4"/>
  <c r="E12" i="4"/>
  <c r="H11" i="4"/>
  <c r="G11" i="4"/>
  <c r="F11" i="4"/>
  <c r="E11" i="4"/>
  <c r="G10" i="4"/>
  <c r="F10" i="4"/>
  <c r="E10" i="4"/>
  <c r="H9" i="4"/>
  <c r="G9" i="4"/>
  <c r="F9" i="4"/>
  <c r="E9" i="4"/>
  <c r="G8" i="4"/>
  <c r="F8" i="4"/>
  <c r="E8" i="4"/>
  <c r="H7" i="4"/>
  <c r="G7" i="4"/>
  <c r="F7" i="4"/>
  <c r="E7" i="4"/>
  <c r="G6" i="4"/>
  <c r="F6" i="4"/>
  <c r="E6" i="4"/>
  <c r="H5" i="4"/>
  <c r="G5" i="4"/>
  <c r="F5" i="4"/>
  <c r="E5" i="4"/>
  <c r="G4" i="4"/>
  <c r="F4" i="4"/>
  <c r="E4" i="4"/>
  <c r="Y11" i="3"/>
  <c r="W11" i="3"/>
  <c r="U11" i="3"/>
  <c r="O11" i="3"/>
  <c r="M11" i="3"/>
  <c r="I11" i="3"/>
  <c r="E11" i="3"/>
  <c r="X10" i="3"/>
  <c r="T10" i="3"/>
  <c r="S10" i="3"/>
  <c r="P10" i="3"/>
  <c r="N10" i="3"/>
  <c r="K10" i="3"/>
  <c r="J10" i="3"/>
  <c r="F10" i="3"/>
  <c r="E10" i="3"/>
  <c r="D10" i="3"/>
  <c r="Y9" i="3"/>
  <c r="X9" i="3"/>
  <c r="U9" i="3"/>
  <c r="T9" i="3"/>
  <c r="S9" i="3"/>
  <c r="P9" i="3"/>
  <c r="O9" i="3"/>
  <c r="M9" i="3"/>
  <c r="K9" i="3"/>
  <c r="I9" i="3"/>
  <c r="H9" i="3"/>
  <c r="E9" i="3"/>
  <c r="D9" i="3"/>
  <c r="C9" i="3"/>
  <c r="X8" i="3"/>
  <c r="W8" i="3"/>
  <c r="T8" i="3"/>
  <c r="S8" i="3"/>
  <c r="R8" i="3"/>
  <c r="O8" i="3"/>
  <c r="N8" i="3"/>
  <c r="L8" i="3"/>
  <c r="J8" i="3"/>
  <c r="H8" i="3"/>
  <c r="G8" i="3"/>
  <c r="D8" i="3"/>
  <c r="C8" i="3"/>
  <c r="B8" i="3"/>
  <c r="Y7" i="3"/>
  <c r="W7" i="3"/>
  <c r="V7" i="3"/>
  <c r="S7" i="3"/>
  <c r="R7" i="3"/>
  <c r="Q7" i="3"/>
  <c r="N7" i="3"/>
  <c r="M7" i="3"/>
  <c r="K7" i="3"/>
  <c r="I7" i="3"/>
  <c r="G7" i="3"/>
  <c r="F7" i="3"/>
  <c r="C7" i="3"/>
  <c r="B7" i="3"/>
  <c r="X6" i="3"/>
  <c r="V6" i="3"/>
  <c r="U6" i="3"/>
  <c r="R6" i="3"/>
  <c r="Q6" i="3"/>
  <c r="P6" i="3"/>
  <c r="M6" i="3"/>
  <c r="L6" i="3"/>
  <c r="J6" i="3"/>
  <c r="H6" i="3"/>
  <c r="F6" i="3"/>
  <c r="E6" i="3"/>
  <c r="B6" i="3"/>
  <c r="Y5" i="3"/>
  <c r="W5" i="3"/>
  <c r="U5" i="3"/>
  <c r="T5" i="3"/>
  <c r="Q5" i="3"/>
  <c r="P5" i="3"/>
  <c r="O5" i="3"/>
  <c r="L5" i="3"/>
  <c r="K5" i="3"/>
  <c r="I5" i="3"/>
  <c r="G5" i="3"/>
  <c r="E5" i="3"/>
  <c r="D5" i="3"/>
  <c r="X4" i="3"/>
  <c r="V4" i="3"/>
  <c r="T4" i="3"/>
  <c r="S4" i="3"/>
  <c r="P4" i="3"/>
  <c r="O4" i="3"/>
  <c r="N4" i="3"/>
  <c r="K4" i="3"/>
  <c r="J4" i="3"/>
  <c r="H4" i="3"/>
  <c r="F4" i="3"/>
  <c r="D4" i="3"/>
  <c r="C4" i="3"/>
  <c r="Y3" i="3"/>
  <c r="W3" i="3"/>
  <c r="U3" i="3"/>
  <c r="S3" i="3"/>
  <c r="R3" i="3"/>
  <c r="O3" i="3"/>
  <c r="N3" i="3"/>
  <c r="M3" i="3"/>
  <c r="J3" i="3"/>
  <c r="I3" i="3"/>
  <c r="G3" i="3"/>
  <c r="E3" i="3"/>
  <c r="C3" i="3"/>
  <c r="B3" i="3"/>
  <c r="Y2" i="3"/>
  <c r="X2" i="3"/>
  <c r="V2" i="3"/>
  <c r="T2" i="3"/>
  <c r="R2" i="3"/>
  <c r="Q2" i="3"/>
  <c r="N2" i="3"/>
  <c r="M2" i="3"/>
  <c r="L2" i="3"/>
  <c r="I2" i="3"/>
  <c r="H2" i="3"/>
  <c r="F2" i="3"/>
  <c r="D2" i="3"/>
  <c r="B2" i="3"/>
  <c r="S93" i="2"/>
  <c r="R93" i="2"/>
  <c r="Q93" i="2"/>
  <c r="M93" i="2"/>
  <c r="S92" i="2"/>
  <c r="R92" i="2"/>
  <c r="Q92" i="2"/>
  <c r="M92" i="2"/>
  <c r="S91" i="2"/>
  <c r="R91" i="2"/>
  <c r="Q91" i="2"/>
  <c r="M91" i="2"/>
  <c r="S90" i="2"/>
  <c r="R90" i="2"/>
  <c r="Q90" i="2"/>
  <c r="M90" i="2"/>
  <c r="S89" i="2"/>
  <c r="R89" i="2"/>
  <c r="Q89" i="2"/>
  <c r="M89" i="2"/>
  <c r="S88" i="2"/>
  <c r="R88" i="2"/>
  <c r="Q88" i="2"/>
  <c r="M88" i="2"/>
  <c r="S87" i="2"/>
  <c r="R87" i="2"/>
  <c r="Q87" i="2"/>
  <c r="M87" i="2"/>
  <c r="S86" i="2"/>
  <c r="R86" i="2"/>
  <c r="Q86" i="2"/>
  <c r="M86" i="2"/>
  <c r="S85" i="2"/>
  <c r="R85" i="2"/>
  <c r="Q85" i="2"/>
  <c r="M85" i="2"/>
  <c r="S84" i="2"/>
  <c r="R84" i="2"/>
  <c r="Q84" i="2"/>
  <c r="M84" i="2"/>
  <c r="S83" i="2"/>
  <c r="R83" i="2"/>
  <c r="Q83" i="2"/>
  <c r="M83" i="2"/>
  <c r="S82" i="2"/>
  <c r="R82" i="2"/>
  <c r="Q82" i="2"/>
  <c r="M82" i="2"/>
  <c r="S81" i="2"/>
  <c r="R81" i="2"/>
  <c r="Q81" i="2"/>
  <c r="M81" i="2"/>
  <c r="S80" i="2"/>
  <c r="R80" i="2"/>
  <c r="Q80" i="2"/>
  <c r="M80" i="2"/>
  <c r="S79" i="2"/>
  <c r="R79" i="2"/>
  <c r="Q79" i="2"/>
  <c r="M79" i="2"/>
  <c r="S78" i="2"/>
  <c r="R78" i="2"/>
  <c r="Q78" i="2"/>
  <c r="M78" i="2"/>
  <c r="S77" i="2"/>
  <c r="R77" i="2"/>
  <c r="Q77" i="2"/>
  <c r="M77" i="2"/>
  <c r="S76" i="2"/>
  <c r="R76" i="2"/>
  <c r="Q76" i="2"/>
  <c r="M76" i="2"/>
  <c r="S75" i="2"/>
  <c r="R75" i="2"/>
  <c r="Q75" i="2"/>
  <c r="M75" i="2"/>
  <c r="S74" i="2"/>
  <c r="R74" i="2"/>
  <c r="Q74" i="2"/>
  <c r="M74" i="2"/>
  <c r="S73" i="2"/>
  <c r="R73" i="2"/>
  <c r="Q73" i="2"/>
  <c r="M73" i="2"/>
  <c r="S72" i="2"/>
  <c r="R72" i="2"/>
  <c r="Q72" i="2"/>
  <c r="M72" i="2"/>
  <c r="S71" i="2"/>
  <c r="R71" i="2"/>
  <c r="Q71" i="2"/>
  <c r="M71" i="2"/>
  <c r="S70" i="2"/>
  <c r="R70" i="2"/>
  <c r="Q70" i="2"/>
  <c r="M70" i="2"/>
  <c r="S69" i="2"/>
  <c r="R69" i="2"/>
  <c r="Q69" i="2"/>
  <c r="M69" i="2"/>
  <c r="S68" i="2"/>
  <c r="R68" i="2"/>
  <c r="Q68" i="2"/>
  <c r="M68" i="2"/>
  <c r="S67" i="2"/>
  <c r="R67" i="2"/>
  <c r="Q67" i="2"/>
  <c r="M67" i="2"/>
  <c r="S66" i="2"/>
  <c r="R66" i="2"/>
  <c r="Q66" i="2"/>
  <c r="M66" i="2"/>
  <c r="S65" i="2"/>
  <c r="R65" i="2"/>
  <c r="Q65" i="2"/>
  <c r="M65" i="2"/>
  <c r="S64" i="2"/>
  <c r="R64" i="2"/>
  <c r="Q64" i="2"/>
  <c r="M64" i="2"/>
  <c r="S63" i="2"/>
  <c r="R63" i="2"/>
  <c r="Q63" i="2"/>
  <c r="M63" i="2"/>
  <c r="S62" i="2"/>
  <c r="R62" i="2"/>
  <c r="Q62" i="2"/>
  <c r="M62" i="2"/>
  <c r="S61" i="2"/>
  <c r="R61" i="2"/>
  <c r="Q61" i="2"/>
  <c r="M61" i="2"/>
  <c r="S60" i="2"/>
  <c r="R60" i="2"/>
  <c r="Q60" i="2"/>
  <c r="M60" i="2"/>
  <c r="S59" i="2"/>
  <c r="R59" i="2"/>
  <c r="Q59" i="2"/>
  <c r="M59" i="2"/>
  <c r="S58" i="2"/>
  <c r="R58" i="2"/>
  <c r="Q58" i="2"/>
  <c r="M58" i="2"/>
  <c r="S57" i="2"/>
  <c r="R57" i="2"/>
  <c r="Q57" i="2"/>
  <c r="M57" i="2"/>
  <c r="S56" i="2"/>
  <c r="R56" i="2"/>
  <c r="Q56" i="2"/>
  <c r="M56" i="2"/>
  <c r="S55" i="2"/>
  <c r="R55" i="2"/>
  <c r="Q55" i="2"/>
  <c r="M55" i="2"/>
  <c r="S54" i="2"/>
  <c r="R54" i="2"/>
  <c r="Q54" i="2"/>
  <c r="M54" i="2"/>
  <c r="S53" i="2"/>
  <c r="R53" i="2"/>
  <c r="Q53" i="2"/>
  <c r="M53" i="2"/>
  <c r="S52" i="2"/>
  <c r="R52" i="2"/>
  <c r="Q52" i="2"/>
  <c r="M52" i="2"/>
  <c r="S51" i="2"/>
  <c r="R51" i="2"/>
  <c r="Q51" i="2"/>
  <c r="M51" i="2"/>
  <c r="S50" i="2"/>
  <c r="R50" i="2"/>
  <c r="Q50" i="2"/>
  <c r="M50" i="2"/>
  <c r="S49" i="2"/>
  <c r="R49" i="2"/>
  <c r="Q49" i="2"/>
  <c r="M49" i="2"/>
  <c r="S48" i="2"/>
  <c r="R48" i="2"/>
  <c r="Q48" i="2"/>
  <c r="M48" i="2"/>
  <c r="S47" i="2"/>
  <c r="R47" i="2"/>
  <c r="Q47" i="2"/>
  <c r="M47" i="2"/>
  <c r="S46" i="2"/>
  <c r="R46" i="2"/>
  <c r="Q46" i="2"/>
  <c r="M46" i="2"/>
  <c r="S45" i="2"/>
  <c r="R45" i="2"/>
  <c r="Q45" i="2"/>
  <c r="M45" i="2"/>
  <c r="S44" i="2"/>
  <c r="R44" i="2"/>
  <c r="Q44" i="2"/>
  <c r="M44" i="2"/>
  <c r="S43" i="2"/>
  <c r="R43" i="2"/>
  <c r="Q43" i="2"/>
  <c r="M43" i="2"/>
  <c r="G5" i="6" s="1"/>
  <c r="J5" i="6" s="1"/>
  <c r="S42" i="2"/>
  <c r="R42" i="2"/>
  <c r="Q42" i="2"/>
  <c r="M42" i="2"/>
  <c r="G22" i="6" s="1"/>
  <c r="J22" i="6" s="1"/>
  <c r="S41" i="2"/>
  <c r="R41" i="2"/>
  <c r="Q41" i="2"/>
  <c r="M41" i="2"/>
  <c r="G21" i="6" s="1"/>
  <c r="J21" i="6" s="1"/>
  <c r="S40" i="2"/>
  <c r="R40" i="2"/>
  <c r="Q40" i="2"/>
  <c r="M40" i="2"/>
  <c r="G18" i="6" s="1"/>
  <c r="J18" i="6" s="1"/>
  <c r="S39" i="2"/>
  <c r="R39" i="2"/>
  <c r="Q39" i="2"/>
  <c r="M39" i="2"/>
  <c r="G17" i="6" s="1"/>
  <c r="J17" i="6" s="1"/>
  <c r="S38" i="2"/>
  <c r="R38" i="2"/>
  <c r="Q38" i="2"/>
  <c r="M38" i="2"/>
  <c r="G14" i="6" s="1"/>
  <c r="J14" i="6" s="1"/>
  <c r="S37" i="2"/>
  <c r="R37" i="2"/>
  <c r="Q37" i="2"/>
  <c r="M37" i="2"/>
  <c r="G13" i="6" s="1"/>
  <c r="J13" i="6" s="1"/>
  <c r="S36" i="2"/>
  <c r="R36" i="2"/>
  <c r="Q36" i="2"/>
  <c r="M36" i="2"/>
  <c r="G10" i="6" s="1"/>
  <c r="J10" i="6" s="1"/>
  <c r="S35" i="2"/>
  <c r="R35" i="2"/>
  <c r="Q35" i="2"/>
  <c r="M35" i="2"/>
  <c r="G9" i="6" s="1"/>
  <c r="J9" i="6" s="1"/>
  <c r="S34" i="2"/>
  <c r="R34" i="2"/>
  <c r="Q34" i="2"/>
  <c r="M34" i="2"/>
  <c r="G6" i="6" s="1"/>
  <c r="J6" i="6" s="1"/>
  <c r="S33" i="2"/>
  <c r="R33" i="2"/>
  <c r="Q33" i="2"/>
  <c r="M33" i="2"/>
  <c r="S32" i="2"/>
  <c r="R32" i="2"/>
  <c r="Q32" i="2"/>
  <c r="M32" i="2"/>
  <c r="S31" i="2"/>
  <c r="R31" i="2"/>
  <c r="Q31" i="2"/>
  <c r="M31" i="2"/>
  <c r="S30" i="2"/>
  <c r="R30" i="2"/>
  <c r="Q30" i="2"/>
  <c r="M30" i="2"/>
  <c r="S29" i="2"/>
  <c r="R29" i="2"/>
  <c r="Q29" i="2"/>
  <c r="M29" i="2"/>
  <c r="S28" i="2"/>
  <c r="R28" i="2"/>
  <c r="Q28" i="2"/>
  <c r="M28" i="2"/>
  <c r="S27" i="2"/>
  <c r="R27" i="2"/>
  <c r="Q27" i="2"/>
  <c r="M27" i="2"/>
  <c r="S26" i="2"/>
  <c r="R26" i="2"/>
  <c r="Q26" i="2"/>
  <c r="M26" i="2"/>
  <c r="S25" i="2"/>
  <c r="R25" i="2"/>
  <c r="Q25" i="2"/>
  <c r="M25" i="2"/>
  <c r="S24" i="2"/>
  <c r="R24" i="2"/>
  <c r="Q24" i="2"/>
  <c r="M24" i="2"/>
  <c r="S23" i="2"/>
  <c r="R23" i="2"/>
  <c r="Q23" i="2"/>
  <c r="M23" i="2"/>
  <c r="S22" i="2"/>
  <c r="R22" i="2"/>
  <c r="Q22" i="2"/>
  <c r="M22" i="2"/>
  <c r="S21" i="2"/>
  <c r="R21" i="2"/>
  <c r="Q21" i="2"/>
  <c r="M21" i="2"/>
  <c r="S20" i="2"/>
  <c r="R20" i="2"/>
  <c r="Q20" i="2"/>
  <c r="M20" i="2"/>
  <c r="S19" i="2"/>
  <c r="R19" i="2"/>
  <c r="Q19" i="2"/>
  <c r="M19" i="2"/>
  <c r="S18" i="2"/>
  <c r="R18" i="2"/>
  <c r="Q18" i="2"/>
  <c r="M18" i="2"/>
  <c r="S17" i="2"/>
  <c r="R17" i="2"/>
  <c r="Q17" i="2"/>
  <c r="M17" i="2"/>
  <c r="S16" i="2"/>
  <c r="R16" i="2"/>
  <c r="Q16" i="2"/>
  <c r="M16" i="2"/>
  <c r="S15" i="2"/>
  <c r="R15" i="2"/>
  <c r="Q15" i="2"/>
  <c r="M15" i="2"/>
  <c r="S14" i="2"/>
  <c r="R14" i="2"/>
  <c r="Q14" i="2"/>
  <c r="M14" i="2"/>
  <c r="S13" i="2"/>
  <c r="I13" i="4" s="1"/>
  <c r="R13" i="2"/>
  <c r="Q13" i="2"/>
  <c r="M13" i="2"/>
  <c r="S12" i="2"/>
  <c r="I12" i="4" s="1"/>
  <c r="R12" i="2"/>
  <c r="Q12" i="2"/>
  <c r="M12" i="2"/>
  <c r="S11" i="2"/>
  <c r="I11" i="4" s="1"/>
  <c r="R11" i="2"/>
  <c r="Q11" i="2"/>
  <c r="E11" i="7" s="1"/>
  <c r="M11" i="2"/>
  <c r="S10" i="2"/>
  <c r="I10" i="4" s="1"/>
  <c r="K10" i="4" s="1"/>
  <c r="R10" i="2"/>
  <c r="Q10" i="2"/>
  <c r="M10" i="2"/>
  <c r="S9" i="2"/>
  <c r="I9" i="4" s="1"/>
  <c r="R9" i="2"/>
  <c r="Q9" i="2"/>
  <c r="E9" i="7" s="1"/>
  <c r="M9" i="2"/>
  <c r="S8" i="2"/>
  <c r="I8" i="4" s="1"/>
  <c r="R8" i="2"/>
  <c r="Q8" i="2"/>
  <c r="M8" i="2"/>
  <c r="S7" i="2"/>
  <c r="I7" i="4" s="1"/>
  <c r="K7" i="4" s="1"/>
  <c r="R7" i="2"/>
  <c r="Q7" i="2"/>
  <c r="E7" i="7" s="1"/>
  <c r="M7" i="2"/>
  <c r="S6" i="2"/>
  <c r="I6" i="4" s="1"/>
  <c r="K6" i="4" s="1"/>
  <c r="R6" i="2"/>
  <c r="Q6" i="2"/>
  <c r="M6" i="2"/>
  <c r="S5" i="2"/>
  <c r="I5" i="4" s="1"/>
  <c r="R5" i="2"/>
  <c r="Q5" i="2"/>
  <c r="E5" i="7" s="1"/>
  <c r="M5" i="2"/>
  <c r="S4" i="2"/>
  <c r="I4" i="4" s="1"/>
  <c r="R4" i="2"/>
  <c r="Q4" i="2"/>
  <c r="M4" i="2"/>
  <c r="G26" i="1"/>
  <c r="C26" i="1"/>
  <c r="B26" i="1"/>
  <c r="A26" i="1"/>
  <c r="G25" i="1"/>
  <c r="E25" i="1"/>
  <c r="C25" i="1"/>
  <c r="B25" i="1"/>
  <c r="A25" i="1"/>
  <c r="G24" i="1"/>
  <c r="C24" i="1"/>
  <c r="B24" i="1"/>
  <c r="A24" i="1"/>
  <c r="G23" i="1"/>
  <c r="C23" i="1"/>
  <c r="B23" i="1"/>
  <c r="A23" i="1"/>
  <c r="G22" i="1"/>
  <c r="E22" i="1"/>
  <c r="C22" i="1"/>
  <c r="B22" i="1"/>
  <c r="A22" i="1"/>
  <c r="G21" i="1"/>
  <c r="E21" i="1"/>
  <c r="C21" i="1"/>
  <c r="B21" i="1"/>
  <c r="A21" i="1"/>
  <c r="G20" i="1"/>
  <c r="E20" i="1"/>
  <c r="C20" i="1"/>
  <c r="B20" i="1"/>
  <c r="A20" i="1"/>
  <c r="G19" i="1"/>
  <c r="C19" i="1"/>
  <c r="B19" i="1"/>
  <c r="A19" i="1"/>
  <c r="G18" i="1"/>
  <c r="E18" i="1"/>
  <c r="C18" i="1"/>
  <c r="B18" i="1"/>
  <c r="A18" i="1"/>
  <c r="G17" i="1"/>
  <c r="E17" i="1"/>
  <c r="C17" i="1"/>
  <c r="B17" i="1"/>
  <c r="A17" i="1"/>
  <c r="K10" i="1"/>
  <c r="I10" i="1"/>
  <c r="G10" i="1"/>
  <c r="E10" i="1"/>
  <c r="C10" i="1"/>
  <c r="G5" i="1"/>
  <c r="B3" i="1"/>
  <c r="E5" i="1" s="1"/>
  <c r="K8" i="4" l="1"/>
  <c r="AA8" i="3"/>
  <c r="H23" i="1" s="1"/>
  <c r="AD4" i="3"/>
  <c r="K19" i="1" s="1"/>
  <c r="K4" i="4"/>
  <c r="AF2" i="3"/>
  <c r="AB2" i="3"/>
  <c r="I17" i="1" s="1"/>
  <c r="D4" i="7"/>
  <c r="D17" i="1" s="1"/>
  <c r="G4" i="6"/>
  <c r="J4" i="6" s="1"/>
  <c r="D7" i="7"/>
  <c r="D20" i="1" s="1"/>
  <c r="G11" i="6"/>
  <c r="J11" i="6" s="1"/>
  <c r="D9" i="7"/>
  <c r="D22" i="1" s="1"/>
  <c r="G15" i="6"/>
  <c r="J15" i="6" s="1"/>
  <c r="D12" i="7"/>
  <c r="D25" i="1" s="1"/>
  <c r="G20" i="6"/>
  <c r="J20" i="6" s="1"/>
  <c r="K13" i="4"/>
  <c r="G8" i="6"/>
  <c r="J8" i="6" s="1"/>
  <c r="D6" i="7"/>
  <c r="D19" i="1" s="1"/>
  <c r="D11" i="7"/>
  <c r="D24" i="1" s="1"/>
  <c r="G19" i="6"/>
  <c r="J19" i="6" s="1"/>
  <c r="K11" i="4"/>
  <c r="A5" i="1"/>
  <c r="D5" i="7"/>
  <c r="D18" i="1" s="1"/>
  <c r="G7" i="6"/>
  <c r="J7" i="6" s="1"/>
  <c r="D8" i="7"/>
  <c r="D21" i="1" s="1"/>
  <c r="G12" i="6"/>
  <c r="J12" i="6" s="1"/>
  <c r="G16" i="6"/>
  <c r="J16" i="6" s="1"/>
  <c r="D10" i="7"/>
  <c r="D23" i="1" s="1"/>
  <c r="D13" i="7"/>
  <c r="D26" i="1" s="1"/>
  <c r="G23" i="6"/>
  <c r="J23" i="6" s="1"/>
  <c r="AA2" i="3"/>
  <c r="H17" i="1" s="1"/>
  <c r="K12" i="4"/>
  <c r="C5" i="1"/>
  <c r="AA6" i="3"/>
  <c r="H21" i="1" s="1"/>
  <c r="A10" i="1"/>
  <c r="W2" i="3"/>
  <c r="S2" i="3"/>
  <c r="O2" i="3"/>
  <c r="K2" i="3"/>
  <c r="G2" i="3"/>
  <c r="C2" i="3"/>
  <c r="X3" i="3"/>
  <c r="X12" i="3" s="1"/>
  <c r="T3" i="3"/>
  <c r="AE3" i="3" s="1"/>
  <c r="L18" i="1" s="1"/>
  <c r="P3" i="3"/>
  <c r="AD3" i="3" s="1"/>
  <c r="K18" i="1" s="1"/>
  <c r="L3" i="3"/>
  <c r="L12" i="3" s="1"/>
  <c r="H3" i="3"/>
  <c r="H12" i="3" s="1"/>
  <c r="D3" i="3"/>
  <c r="D12" i="3" s="1"/>
  <c r="Y4" i="3"/>
  <c r="Y12" i="3" s="1"/>
  <c r="U4" i="3"/>
  <c r="Q4" i="3"/>
  <c r="M4" i="3"/>
  <c r="M12" i="3" s="1"/>
  <c r="I4" i="3"/>
  <c r="I12" i="3" s="1"/>
  <c r="E4" i="3"/>
  <c r="V5" i="3"/>
  <c r="R5" i="3"/>
  <c r="AE5" i="3" s="1"/>
  <c r="L20" i="1" s="1"/>
  <c r="N5" i="3"/>
  <c r="AD5" i="3" s="1"/>
  <c r="K20" i="1" s="1"/>
  <c r="J5" i="3"/>
  <c r="F5" i="3"/>
  <c r="B5" i="3"/>
  <c r="W6" i="3"/>
  <c r="S6" i="3"/>
  <c r="O6" i="3"/>
  <c r="K6" i="3"/>
  <c r="AC6" i="3" s="1"/>
  <c r="J21" i="1" s="1"/>
  <c r="G6" i="3"/>
  <c r="AB6" i="3" s="1"/>
  <c r="I21" i="1" s="1"/>
  <c r="C6" i="3"/>
  <c r="X7" i="3"/>
  <c r="AF7" i="3" s="1"/>
  <c r="T7" i="3"/>
  <c r="AE7" i="3" s="1"/>
  <c r="L22" i="1" s="1"/>
  <c r="P7" i="3"/>
  <c r="L7" i="3"/>
  <c r="H7" i="3"/>
  <c r="AB7" i="3" s="1"/>
  <c r="I22" i="1" s="1"/>
  <c r="D7" i="3"/>
  <c r="AA7" i="3" s="1"/>
  <c r="H22" i="1" s="1"/>
  <c r="Y8" i="3"/>
  <c r="U8" i="3"/>
  <c r="AE8" i="3" s="1"/>
  <c r="L23" i="1" s="1"/>
  <c r="Q8" i="3"/>
  <c r="M8" i="3"/>
  <c r="I8" i="3"/>
  <c r="E8" i="3"/>
  <c r="Z8" i="3" s="1"/>
  <c r="J10" i="4" s="1"/>
  <c r="V9" i="3"/>
  <c r="R9" i="3"/>
  <c r="AE9" i="3" s="1"/>
  <c r="L24" i="1" s="1"/>
  <c r="N9" i="3"/>
  <c r="J9" i="3"/>
  <c r="F9" i="3"/>
  <c r="B9" i="3"/>
  <c r="Y10" i="3"/>
  <c r="U10" i="3"/>
  <c r="Q10" i="3"/>
  <c r="M10" i="3"/>
  <c r="I10" i="3"/>
  <c r="W10" i="3"/>
  <c r="R10" i="3"/>
  <c r="AE10" i="3" s="1"/>
  <c r="L25" i="1" s="1"/>
  <c r="L10" i="3"/>
  <c r="AC10" i="3" s="1"/>
  <c r="J25" i="1" s="1"/>
  <c r="G10" i="3"/>
  <c r="AB10" i="3" s="1"/>
  <c r="I25" i="1" s="1"/>
  <c r="C10" i="3"/>
  <c r="X11" i="3"/>
  <c r="T11" i="3"/>
  <c r="P11" i="3"/>
  <c r="L11" i="3"/>
  <c r="H11" i="3"/>
  <c r="D11" i="3"/>
  <c r="V11" i="3"/>
  <c r="AF11" i="3" s="1"/>
  <c r="R11" i="3"/>
  <c r="N11" i="3"/>
  <c r="J11" i="3"/>
  <c r="F11" i="3"/>
  <c r="B11" i="3"/>
  <c r="S11" i="3"/>
  <c r="K11" i="3"/>
  <c r="C11" i="3"/>
  <c r="E2" i="3"/>
  <c r="J2" i="3"/>
  <c r="P2" i="3"/>
  <c r="U2" i="3"/>
  <c r="F3" i="3"/>
  <c r="AB3" i="3" s="1"/>
  <c r="I18" i="1" s="1"/>
  <c r="K3" i="3"/>
  <c r="AC3" i="3" s="1"/>
  <c r="J18" i="1" s="1"/>
  <c r="Q3" i="3"/>
  <c r="Q12" i="3" s="1"/>
  <c r="V3" i="3"/>
  <c r="AF3" i="3" s="1"/>
  <c r="B4" i="3"/>
  <c r="G4" i="3"/>
  <c r="AB4" i="3" s="1"/>
  <c r="I19" i="1" s="1"/>
  <c r="L4" i="3"/>
  <c r="AC4" i="3" s="1"/>
  <c r="J19" i="1" s="1"/>
  <c r="R4" i="3"/>
  <c r="AE4" i="3" s="1"/>
  <c r="L19" i="1" s="1"/>
  <c r="W4" i="3"/>
  <c r="AF4" i="3" s="1"/>
  <c r="C5" i="3"/>
  <c r="H5" i="3"/>
  <c r="M5" i="3"/>
  <c r="S5" i="3"/>
  <c r="X5" i="3"/>
  <c r="D6" i="3"/>
  <c r="I6" i="3"/>
  <c r="N6" i="3"/>
  <c r="AD6" i="3" s="1"/>
  <c r="K21" i="1" s="1"/>
  <c r="T6" i="3"/>
  <c r="AE6" i="3" s="1"/>
  <c r="L21" i="1" s="1"/>
  <c r="Y6" i="3"/>
  <c r="E7" i="3"/>
  <c r="J7" i="3"/>
  <c r="AC7" i="3" s="1"/>
  <c r="J22" i="1" s="1"/>
  <c r="O7" i="3"/>
  <c r="AD7" i="3" s="1"/>
  <c r="K22" i="1" s="1"/>
  <c r="U7" i="3"/>
  <c r="F8" i="3"/>
  <c r="AB8" i="3" s="1"/>
  <c r="I23" i="1" s="1"/>
  <c r="K8" i="3"/>
  <c r="AC8" i="3" s="1"/>
  <c r="J23" i="1" s="1"/>
  <c r="P8" i="3"/>
  <c r="AD8" i="3" s="1"/>
  <c r="K23" i="1" s="1"/>
  <c r="V8" i="3"/>
  <c r="AF8" i="3" s="1"/>
  <c r="G9" i="3"/>
  <c r="L9" i="3"/>
  <c r="Q9" i="3"/>
  <c r="W9" i="3"/>
  <c r="B10" i="3"/>
  <c r="H10" i="3"/>
  <c r="O10" i="3"/>
  <c r="AD10" i="3" s="1"/>
  <c r="K25" i="1" s="1"/>
  <c r="V10" i="3"/>
  <c r="AF10" i="3" s="1"/>
  <c r="G11" i="3"/>
  <c r="Q11" i="3"/>
  <c r="R12" i="3"/>
  <c r="H4" i="4"/>
  <c r="E4" i="7"/>
  <c r="E6" i="7"/>
  <c r="H6" i="4"/>
  <c r="H8" i="4"/>
  <c r="E8" i="7"/>
  <c r="E10" i="7"/>
  <c r="H10" i="4"/>
  <c r="H12" i="4"/>
  <c r="E12" i="7"/>
  <c r="E13" i="7"/>
  <c r="H13" i="4"/>
  <c r="K5" i="4"/>
  <c r="K9" i="4"/>
  <c r="K5" i="6"/>
  <c r="M7" i="6"/>
  <c r="K9" i="6"/>
  <c r="M11" i="6"/>
  <c r="K13" i="6"/>
  <c r="M15" i="6"/>
  <c r="K17" i="6"/>
  <c r="M19" i="6"/>
  <c r="K21" i="6"/>
  <c r="M23" i="6"/>
  <c r="K4" i="6"/>
  <c r="K8" i="6"/>
  <c r="K12" i="6"/>
  <c r="K16" i="6"/>
  <c r="K20" i="6"/>
  <c r="K7" i="6"/>
  <c r="K11" i="6"/>
  <c r="K15" i="6"/>
  <c r="K19" i="6"/>
  <c r="K23" i="6"/>
  <c r="Z4" i="3" l="1"/>
  <c r="J6" i="4" s="1"/>
  <c r="AA4" i="3"/>
  <c r="H19" i="1" s="1"/>
  <c r="AC2" i="3"/>
  <c r="J17" i="1" s="1"/>
  <c r="J12" i="3"/>
  <c r="AD11" i="3"/>
  <c r="K26" i="1" s="1"/>
  <c r="AB9" i="3"/>
  <c r="I24" i="1" s="1"/>
  <c r="AF9" i="3"/>
  <c r="AB5" i="3"/>
  <c r="I20" i="1" s="1"/>
  <c r="AF5" i="3"/>
  <c r="O12" i="3"/>
  <c r="T12" i="3"/>
  <c r="Z3" i="3"/>
  <c r="J5" i="4" s="1"/>
  <c r="V12" i="3"/>
  <c r="Z7" i="3"/>
  <c r="J9" i="4" s="1"/>
  <c r="AD2" i="3"/>
  <c r="K17" i="1" s="1"/>
  <c r="N12" i="3"/>
  <c r="P12" i="3"/>
  <c r="AC11" i="3"/>
  <c r="J26" i="1" s="1"/>
  <c r="Z9" i="3"/>
  <c r="J11" i="4" s="1"/>
  <c r="AA9" i="3"/>
  <c r="H24" i="1" s="1"/>
  <c r="Z5" i="3"/>
  <c r="J7" i="4" s="1"/>
  <c r="AA5" i="3"/>
  <c r="H20" i="1" s="1"/>
  <c r="K12" i="3"/>
  <c r="AA10" i="3"/>
  <c r="H25" i="1" s="1"/>
  <c r="Z10" i="3"/>
  <c r="J12" i="4" s="1"/>
  <c r="Z2" i="3"/>
  <c r="J4" i="4" s="1"/>
  <c r="E12" i="3"/>
  <c r="Z11" i="3"/>
  <c r="J13" i="4" s="1"/>
  <c r="AA11" i="3"/>
  <c r="H26" i="1" s="1"/>
  <c r="AE11" i="3"/>
  <c r="L26" i="1" s="1"/>
  <c r="AC9" i="3"/>
  <c r="J24" i="1" s="1"/>
  <c r="Z6" i="3"/>
  <c r="J8" i="4" s="1"/>
  <c r="AC5" i="3"/>
  <c r="J20" i="1" s="1"/>
  <c r="C12" i="3"/>
  <c r="S12" i="3"/>
  <c r="AA3" i="3"/>
  <c r="H18" i="1" s="1"/>
  <c r="U12" i="3"/>
  <c r="AB11" i="3"/>
  <c r="I26" i="1" s="1"/>
  <c r="AD9" i="3"/>
  <c r="K24" i="1" s="1"/>
  <c r="AF6" i="3"/>
  <c r="G12" i="3"/>
  <c r="W12" i="3"/>
  <c r="AE2" i="3"/>
  <c r="L17" i="1" s="1"/>
  <c r="F12" i="3"/>
  <c r="B12" i="3"/>
</calcChain>
</file>

<file path=xl/sharedStrings.xml><?xml version="1.0" encoding="utf-8"?>
<sst xmlns="http://schemas.openxmlformats.org/spreadsheetml/2006/main" count="1267" uniqueCount="519">
  <si>
    <t>SWISH 10-MIN DELIVERY — BANGALORE ZONE OPERATIONS DASHBOARD</t>
  </si>
  <si>
    <t>Executive control center — all figures update automatically from the underlying trackers.</t>
  </si>
  <si>
    <t>Report Date:</t>
  </si>
  <si>
    <t>TODAY'S ORDERS</t>
  </si>
  <si>
    <t>COMPLETED DELIVERIES</t>
  </si>
  <si>
    <t>ACTIVE ORDERS</t>
  </si>
  <si>
    <t>CANCELLED ORDERS</t>
  </si>
  <si>
    <t>REVENUE (3-DAY)</t>
  </si>
  <si>
    <t>ON-TIME DELIVERY %</t>
  </si>
  <si>
    <t>AVG DELIVERY TIME (min)</t>
  </si>
  <si>
    <t>AVG KITCHEN PREP TIME (min)</t>
  </si>
  <si>
    <t>RIDER UTILIZATION</t>
  </si>
  <si>
    <t>AVG ORDER VALUE</t>
  </si>
  <si>
    <t>ACTIVE RIDERS</t>
  </si>
  <si>
    <t>OPEN COMPLAINTS</t>
  </si>
  <si>
    <t>ZONE-WISE PERFORMANCE</t>
  </si>
  <si>
    <t>KITCHEN LOAD HEATMAP (orders by time block)</t>
  </si>
  <si>
    <t>Zone</t>
  </si>
  <si>
    <t>Orders</t>
  </si>
  <si>
    <t>Revenue (₹)</t>
  </si>
  <si>
    <t>Avg Delivery (min)</t>
  </si>
  <si>
    <t>Cancel Rate</t>
  </si>
  <si>
    <t>Kitchen</t>
  </si>
  <si>
    <t>0-3</t>
  </si>
  <si>
    <t>4-7</t>
  </si>
  <si>
    <t>8-11</t>
  </si>
  <si>
    <t>12-15</t>
  </si>
  <si>
    <t>16-19</t>
  </si>
  <si>
    <t>HOURLY ORDER TREND</t>
  </si>
  <si>
    <t>ZONE-WISE REVENUE</t>
  </si>
  <si>
    <t>DAILY ORDER TRACKER — Swish 10-Min Delivery (Bangalore Zone)</t>
  </si>
  <si>
    <t>Live order-level log. Grey helper columns (Q-S) power all analytics on other sheets — do not delete.</t>
  </si>
  <si>
    <t>Date</t>
  </si>
  <si>
    <t>Order ID</t>
  </si>
  <si>
    <t>Customer Name</t>
  </si>
  <si>
    <t>Phone</t>
  </si>
  <si>
    <t>Rider Assigned</t>
  </si>
  <si>
    <t>Order Time</t>
  </si>
  <si>
    <t>Preparation Start</t>
  </si>
  <si>
    <t>Preparation End</t>
  </si>
  <si>
    <t>Pickup Time</t>
  </si>
  <si>
    <t>Delivery Time</t>
  </si>
  <si>
    <t>Total Delivery Minutes</t>
  </si>
  <si>
    <t>Status</t>
  </si>
  <si>
    <t>Delay Reason</t>
  </si>
  <si>
    <t>Order Value</t>
  </si>
  <si>
    <t>Prep Minutes (calc)</t>
  </si>
  <si>
    <t>Order Hour (calc)</t>
  </si>
  <si>
    <t>Delay Flag (calc)</t>
  </si>
  <si>
    <t>ORD1001</t>
  </si>
  <si>
    <t>Ved Trivedi</t>
  </si>
  <si>
    <t>9104332181</t>
  </si>
  <si>
    <t>Koramangala</t>
  </si>
  <si>
    <t>Swish Kitchen - Koramangala</t>
  </si>
  <si>
    <t>R001</t>
  </si>
  <si>
    <t>Delivered</t>
  </si>
  <si>
    <t>ORD1002</t>
  </si>
  <si>
    <t>Aarav Shah</t>
  </si>
  <si>
    <t>9838637940</t>
  </si>
  <si>
    <t>HSR Layout</t>
  </si>
  <si>
    <t>Swish Kitchen - HSR Layout</t>
  </si>
  <si>
    <t>R004</t>
  </si>
  <si>
    <t>Peak hour surge</t>
  </si>
  <si>
    <t>ORD1003</t>
  </si>
  <si>
    <t>Arnav Sinha</t>
  </si>
  <si>
    <t>9116155940</t>
  </si>
  <si>
    <t>Indiranagar</t>
  </si>
  <si>
    <t>Swish Kitchen - Indiranagar</t>
  </si>
  <si>
    <t>R005</t>
  </si>
  <si>
    <t>Address not found</t>
  </si>
  <si>
    <t>ORD1004</t>
  </si>
  <si>
    <t>Reyan Dutta</t>
  </si>
  <si>
    <t>9593103413</t>
  </si>
  <si>
    <t>Whitefield</t>
  </si>
  <si>
    <t>Swish Kitchen - Whitefield</t>
  </si>
  <si>
    <t>R008</t>
  </si>
  <si>
    <t>Heavy traffic</t>
  </si>
  <si>
    <t>ORD1005</t>
  </si>
  <si>
    <t>Reyansh Jain</t>
  </si>
  <si>
    <t>9419283276</t>
  </si>
  <si>
    <t>Electronic City</t>
  </si>
  <si>
    <t>Swish Kitchen - Electronic City</t>
  </si>
  <si>
    <t>R009</t>
  </si>
  <si>
    <t>ORD1006</t>
  </si>
  <si>
    <t>9641395376</t>
  </si>
  <si>
    <t>Marathahalli</t>
  </si>
  <si>
    <t>Swish Kitchen - Marathahalli</t>
  </si>
  <si>
    <t>R012</t>
  </si>
  <si>
    <t>ORD1007</t>
  </si>
  <si>
    <t>Navya Desai</t>
  </si>
  <si>
    <t>9965328710</t>
  </si>
  <si>
    <t>JP Nagar</t>
  </si>
  <si>
    <t>Swish Kitchen - JP Nagar</t>
  </si>
  <si>
    <t>R013</t>
  </si>
  <si>
    <t>High order volume</t>
  </si>
  <si>
    <t>ORD1008</t>
  </si>
  <si>
    <t>Kian Fernandes</t>
  </si>
  <si>
    <t>9978480184</t>
  </si>
  <si>
    <t>BTM Layout</t>
  </si>
  <si>
    <t>Swish Kitchen - BTM Layout</t>
  </si>
  <si>
    <t>R016</t>
  </si>
  <si>
    <t>ORD1009</t>
  </si>
  <si>
    <t>Ira Sharma</t>
  </si>
  <si>
    <t>9482814893</t>
  </si>
  <si>
    <t>Bellandur</t>
  </si>
  <si>
    <t>Swish Kitchen - Bellandur</t>
  </si>
  <si>
    <t>R017</t>
  </si>
  <si>
    <t>Rider unavailable at pickup</t>
  </si>
  <si>
    <t>ORD1010</t>
  </si>
  <si>
    <t>Pihu Agarwal</t>
  </si>
  <si>
    <t>9543039117</t>
  </si>
  <si>
    <t>Sarjapur</t>
  </si>
  <si>
    <t>Swish Kitchen - Sarjapur</t>
  </si>
  <si>
    <t>R020</t>
  </si>
  <si>
    <t>ORD1011</t>
  </si>
  <si>
    <t>Sanya Bhatia</t>
  </si>
  <si>
    <t>9638346578</t>
  </si>
  <si>
    <t>ORD1012</t>
  </si>
  <si>
    <t>Myra Kapoor</t>
  </si>
  <si>
    <t>9930103105</t>
  </si>
  <si>
    <t>Rider took wrong route</t>
  </si>
  <si>
    <t>ORD1013</t>
  </si>
  <si>
    <t>9997376311</t>
  </si>
  <si>
    <t>ORD1014</t>
  </si>
  <si>
    <t>Sara Khan</t>
  </si>
  <si>
    <t>9065133387</t>
  </si>
  <si>
    <t>ORD1015</t>
  </si>
  <si>
    <t>Kiara Vora</t>
  </si>
  <si>
    <t>9810801326</t>
  </si>
  <si>
    <t>ORD1016</t>
  </si>
  <si>
    <t>Vivaan Chatterjee</t>
  </si>
  <si>
    <t>9746872343</t>
  </si>
  <si>
    <t>ORD1017</t>
  </si>
  <si>
    <t>9820812191</t>
  </si>
  <si>
    <t>ORD1018</t>
  </si>
  <si>
    <t>9169985435</t>
  </si>
  <si>
    <t>ORD1019</t>
  </si>
  <si>
    <t>9107991183</t>
  </si>
  <si>
    <t>ORD1020</t>
  </si>
  <si>
    <t>Dhruv Saxena</t>
  </si>
  <si>
    <t>9849808412</t>
  </si>
  <si>
    <t>Kitchen backlog</t>
  </si>
  <si>
    <t>ORD1021</t>
  </si>
  <si>
    <t>Krish Choudhary</t>
  </si>
  <si>
    <t>9534874016</t>
  </si>
  <si>
    <t>ORD1022</t>
  </si>
  <si>
    <t>9868011280</t>
  </si>
  <si>
    <t>ORD1023</t>
  </si>
  <si>
    <t>9053315869</t>
  </si>
  <si>
    <t>Cancelled</t>
  </si>
  <si>
    <t>ORD1024</t>
  </si>
  <si>
    <t>9634216073</t>
  </si>
  <si>
    <t>ORD1025</t>
  </si>
  <si>
    <t>9414586850</t>
  </si>
  <si>
    <t>ORD1026</t>
  </si>
  <si>
    <t>Zara Ahmed</t>
  </si>
  <si>
    <t>9569816934</t>
  </si>
  <si>
    <t>ORD1027</t>
  </si>
  <si>
    <t>Anaya Pillai</t>
  </si>
  <si>
    <t>9595148465</t>
  </si>
  <si>
    <t>ORD1028</t>
  </si>
  <si>
    <t>9299468044</t>
  </si>
  <si>
    <t>ORD1029</t>
  </si>
  <si>
    <t>9214895134</t>
  </si>
  <si>
    <t>ORD1030</t>
  </si>
  <si>
    <t>9176936763</t>
  </si>
  <si>
    <t>ORD1031</t>
  </si>
  <si>
    <t>Aryan Bhatt</t>
  </si>
  <si>
    <t>9708317278</t>
  </si>
  <si>
    <t>R003</t>
  </si>
  <si>
    <t>ORD1032</t>
  </si>
  <si>
    <t>9277434873</t>
  </si>
  <si>
    <t>R006</t>
  </si>
  <si>
    <t>ORD1033</t>
  </si>
  <si>
    <t>Diya Mehta</t>
  </si>
  <si>
    <t>9223623166</t>
  </si>
  <si>
    <t>R007</t>
  </si>
  <si>
    <t>ORD1034</t>
  </si>
  <si>
    <t>Aarush Bali</t>
  </si>
  <si>
    <t>9909670546</t>
  </si>
  <si>
    <t>R010</t>
  </si>
  <si>
    <t>ORD1035</t>
  </si>
  <si>
    <t>9706562729</t>
  </si>
  <si>
    <t>R011</t>
  </si>
  <si>
    <t>ORD1036</t>
  </si>
  <si>
    <t>9720465375</t>
  </si>
  <si>
    <t>R014</t>
  </si>
  <si>
    <t>ORD1037</t>
  </si>
  <si>
    <t>Tara Iyer</t>
  </si>
  <si>
    <t>9053100330</t>
  </si>
  <si>
    <t>R015</t>
  </si>
  <si>
    <t>ORD1038</t>
  </si>
  <si>
    <t>9452991241</t>
  </si>
  <si>
    <t>R018</t>
  </si>
  <si>
    <t>ORD1039</t>
  </si>
  <si>
    <t>9931491905</t>
  </si>
  <si>
    <t>R019</t>
  </si>
  <si>
    <t>ORD1040</t>
  </si>
  <si>
    <t>Riya Kulkarni</t>
  </si>
  <si>
    <t>9165726284</t>
  </si>
  <si>
    <t>R002</t>
  </si>
  <si>
    <t>ORD1041</t>
  </si>
  <si>
    <t>Om Rathore</t>
  </si>
  <si>
    <t>9147379965</t>
  </si>
  <si>
    <t>ORD1042</t>
  </si>
  <si>
    <t>9494808313</t>
  </si>
  <si>
    <t>ORD1043</t>
  </si>
  <si>
    <t>9014363495</t>
  </si>
  <si>
    <t>ORD1044</t>
  </si>
  <si>
    <t>9443135182</t>
  </si>
  <si>
    <t>ORD1045</t>
  </si>
  <si>
    <t>9435240824</t>
  </si>
  <si>
    <t>ORD1046</t>
  </si>
  <si>
    <t>Advait Nambiar</t>
  </si>
  <si>
    <t>9477752047</t>
  </si>
  <si>
    <t>ORD1047</t>
  </si>
  <si>
    <t>Nitya Ghosh</t>
  </si>
  <si>
    <t>9941318699</t>
  </si>
  <si>
    <t>ORD1048</t>
  </si>
  <si>
    <t>9964990913</t>
  </si>
  <si>
    <t>ORD1049</t>
  </si>
  <si>
    <t>Anika Bansal</t>
  </si>
  <si>
    <t>9067974034</t>
  </si>
  <si>
    <t>ORD1050</t>
  </si>
  <si>
    <t>9936183242</t>
  </si>
  <si>
    <t>ORD1051</t>
  </si>
  <si>
    <t>9464887719</t>
  </si>
  <si>
    <t>ORD1052</t>
  </si>
  <si>
    <t>9990490278</t>
  </si>
  <si>
    <t>ORD1053</t>
  </si>
  <si>
    <t>9655125674</t>
  </si>
  <si>
    <t>ORD1054</t>
  </si>
  <si>
    <t>9680876038</t>
  </si>
  <si>
    <t>ORD1055</t>
  </si>
  <si>
    <t>9477109324</t>
  </si>
  <si>
    <t>ORD1056</t>
  </si>
  <si>
    <t>9274846773</t>
  </si>
  <si>
    <t>ORD1057</t>
  </si>
  <si>
    <t>9146584044</t>
  </si>
  <si>
    <t>ORD1058</t>
  </si>
  <si>
    <t>9867533963</t>
  </si>
  <si>
    <t>ORD1059</t>
  </si>
  <si>
    <t>9627028951</t>
  </si>
  <si>
    <t>ORD1060</t>
  </si>
  <si>
    <t>9217459615</t>
  </si>
  <si>
    <t>ORD1061</t>
  </si>
  <si>
    <t>9134316117</t>
  </si>
  <si>
    <t>ORD1062</t>
  </si>
  <si>
    <t>9623869222</t>
  </si>
  <si>
    <t>ORD1063</t>
  </si>
  <si>
    <t>9747407482</t>
  </si>
  <si>
    <t>ORD1064</t>
  </si>
  <si>
    <t>9436713695</t>
  </si>
  <si>
    <t>ORD1065</t>
  </si>
  <si>
    <t>9097439533</t>
  </si>
  <si>
    <t>ORD1066</t>
  </si>
  <si>
    <t>Ishaan Gupta</t>
  </si>
  <si>
    <t>9952145623</t>
  </si>
  <si>
    <t>ORD1067</t>
  </si>
  <si>
    <t>9451712368</t>
  </si>
  <si>
    <t>ORD1068</t>
  </si>
  <si>
    <t>9496513709</t>
  </si>
  <si>
    <t>ORD1069</t>
  </si>
  <si>
    <t>9612004711</t>
  </si>
  <si>
    <t>ORD1070</t>
  </si>
  <si>
    <t>Kabir Malhotra</t>
  </si>
  <si>
    <t>9617964053</t>
  </si>
  <si>
    <t>ORD1071</t>
  </si>
  <si>
    <t>9064317139</t>
  </si>
  <si>
    <t>ORD1072</t>
  </si>
  <si>
    <t>9933529042</t>
  </si>
  <si>
    <t>ORD1073</t>
  </si>
  <si>
    <t>9395024026</t>
  </si>
  <si>
    <t>ORD1074</t>
  </si>
  <si>
    <t>9390847007</t>
  </si>
  <si>
    <t>ORD1075</t>
  </si>
  <si>
    <t>9212499856</t>
  </si>
  <si>
    <t>ORD1076</t>
  </si>
  <si>
    <t>9836736576</t>
  </si>
  <si>
    <t>ORD1077</t>
  </si>
  <si>
    <t>9711116152</t>
  </si>
  <si>
    <t>ORD1078</t>
  </si>
  <si>
    <t>9049451983</t>
  </si>
  <si>
    <t>ORD1079</t>
  </si>
  <si>
    <t>9936899809</t>
  </si>
  <si>
    <t>ORD1080</t>
  </si>
  <si>
    <t>9022961201</t>
  </si>
  <si>
    <t>ORD1081</t>
  </si>
  <si>
    <t>9599102290</t>
  </si>
  <si>
    <t>ORD1082</t>
  </si>
  <si>
    <t>9381561497</t>
  </si>
  <si>
    <t>ORD1083</t>
  </si>
  <si>
    <t>9244510762</t>
  </si>
  <si>
    <t>Pending</t>
  </si>
  <si>
    <t>ORD1084</t>
  </si>
  <si>
    <t>9060715969</t>
  </si>
  <si>
    <t>Ready</t>
  </si>
  <si>
    <t>ORD1085</t>
  </si>
  <si>
    <t>9975161369</t>
  </si>
  <si>
    <t>Preparing</t>
  </si>
  <si>
    <t>ORD1086</t>
  </si>
  <si>
    <t>9218188355</t>
  </si>
  <si>
    <t>ORD1087</t>
  </si>
  <si>
    <t>9921277997</t>
  </si>
  <si>
    <t>Picked Up</t>
  </si>
  <si>
    <t>ORD1088</t>
  </si>
  <si>
    <t>9774490581</t>
  </si>
  <si>
    <t>ORD1089</t>
  </si>
  <si>
    <t>9199867980</t>
  </si>
  <si>
    <t>ORD1090</t>
  </si>
  <si>
    <t>9715182037</t>
  </si>
  <si>
    <t>Peak Hour Load</t>
  </si>
  <si>
    <t>Late Night 0-3</t>
  </si>
  <si>
    <t>Early Morn 4-7</t>
  </si>
  <si>
    <t>Morning 8-11</t>
  </si>
  <si>
    <t>Afternoon 12-15</t>
  </si>
  <si>
    <t>Evening 16-19</t>
  </si>
  <si>
    <t>Night 20-23</t>
  </si>
  <si>
    <t>TOTAL</t>
  </si>
  <si>
    <t>KITCHEN OPERATIONS TRACKER</t>
  </si>
  <si>
    <t>Auto-calculated from Daily Order Tracker.</t>
  </si>
  <si>
    <t>Kitchen Name</t>
  </si>
  <si>
    <t>Shift</t>
  </si>
  <si>
    <t>Chef</t>
  </si>
  <si>
    <t>Orders Received</t>
  </si>
  <si>
    <t>Orders Preparing</t>
  </si>
  <si>
    <t>Orders Ready</t>
  </si>
  <si>
    <t>Average Prep Time (min)</t>
  </si>
  <si>
    <t>Delayed Orders</t>
  </si>
  <si>
    <t>Efficiency %</t>
  </si>
  <si>
    <t>Morning (7AM-3PM)</t>
  </si>
  <si>
    <t>Ravi Kumar</t>
  </si>
  <si>
    <t>Afternoon (11AM-7PM)</t>
  </si>
  <si>
    <t>Ananya Rao</t>
  </si>
  <si>
    <t>Evening (3PM-11PM)</t>
  </si>
  <si>
    <t>Suresh Iyer</t>
  </si>
  <si>
    <t>Night (6PM-2AM)</t>
  </si>
  <si>
    <t>Fatima Sheikh</t>
  </si>
  <si>
    <t>Vikram Singh</t>
  </si>
  <si>
    <t>Deepa Nair</t>
  </si>
  <si>
    <t>Arjun Reddy</t>
  </si>
  <si>
    <t>Meera Pillai</t>
  </si>
  <si>
    <t>Naveen Gowda</t>
  </si>
  <si>
    <t>Priya Menon</t>
  </si>
  <si>
    <t>FOOD PREPARATION MONITOR</t>
  </si>
  <si>
    <t>Sample batch snapshot — Prep Time and Delay Flag are live formulas.</t>
  </si>
  <si>
    <t>Item Name</t>
  </si>
  <si>
    <t>Category</t>
  </si>
  <si>
    <t>Order Quantity</t>
  </si>
  <si>
    <t>Prep Start</t>
  </si>
  <si>
    <t>Prep End</t>
  </si>
  <si>
    <t>Prep Time (min)</t>
  </si>
  <si>
    <t>Target Time (min)</t>
  </si>
  <si>
    <t>Delay Flag</t>
  </si>
  <si>
    <t>Veg Fried Rice</t>
  </si>
  <si>
    <t>Rice Bowls</t>
  </si>
  <si>
    <t>Chicken Noodles</t>
  </si>
  <si>
    <t>Noodles</t>
  </si>
  <si>
    <t>Paneer Wrap</t>
  </si>
  <si>
    <t>Snacks</t>
  </si>
  <si>
    <t>Cold Coffee</t>
  </si>
  <si>
    <t>Beverages</t>
  </si>
  <si>
    <t>Gulab Jamun</t>
  </si>
  <si>
    <t>Sweets</t>
  </si>
  <si>
    <t>Masala Dosa Roll</t>
  </si>
  <si>
    <t>Wraps</t>
  </si>
  <si>
    <t>Chicken Momos</t>
  </si>
  <si>
    <t>Veg Momos</t>
  </si>
  <si>
    <t>Mango Lassi</t>
  </si>
  <si>
    <t>Butter Naan Wrap</t>
  </si>
  <si>
    <t>Egg Fried Rice</t>
  </si>
  <si>
    <t>Chocolate Shake</t>
  </si>
  <si>
    <t>Paneer Tikka Bowl</t>
  </si>
  <si>
    <t>Chicken Biryani Bowl</t>
  </si>
  <si>
    <t>Samosa Chaat</t>
  </si>
  <si>
    <t>Veg Manchurian</t>
  </si>
  <si>
    <t>Chicken Manchurian</t>
  </si>
  <si>
    <t>Filter Coffee</t>
  </si>
  <si>
    <t>Rasmalai Cup</t>
  </si>
  <si>
    <t>Schezwan Noodles</t>
  </si>
  <si>
    <t>RIDER PERFORMANCE TRACKER</t>
  </si>
  <si>
    <t>Assumptions box (right) drives Earnings — edit the blue input cell to re-price all riders.</t>
  </si>
  <si>
    <t>Rider ID</t>
  </si>
  <si>
    <t>Rider Name</t>
  </si>
  <si>
    <t>Orders Assigned</t>
  </si>
  <si>
    <t>Orders Delivered</t>
  </si>
  <si>
    <t>Average Delivery Time (min)</t>
  </si>
  <si>
    <t>Distance Covered (km)</t>
  </si>
  <si>
    <t>Online Hours</t>
  </si>
  <si>
    <t>Idle Time (hrs)</t>
  </si>
  <si>
    <t>Earnings (₹)</t>
  </si>
  <si>
    <t>Incentives (₹)</t>
  </si>
  <si>
    <t>Acceptance Rate</t>
  </si>
  <si>
    <t>ASSUMPTIONS</t>
  </si>
  <si>
    <t>Rahul Verma</t>
  </si>
  <si>
    <t>Base Rate / Delivery (₹)</t>
  </si>
  <si>
    <t>Sandeep Yadav</t>
  </si>
  <si>
    <t>Assumed Max Orders/Day</t>
  </si>
  <si>
    <t>Kiran Kumar</t>
  </si>
  <si>
    <t>Manoj Das</t>
  </si>
  <si>
    <t>Vishal Chauhan</t>
  </si>
  <si>
    <t>Ajay Patil</t>
  </si>
  <si>
    <t>Suraj Shetty</t>
  </si>
  <si>
    <t>Rohit Bose</t>
  </si>
  <si>
    <t>Farhan Ali</t>
  </si>
  <si>
    <t>Gautam Joshi</t>
  </si>
  <si>
    <t>Nikhil Rane</t>
  </si>
  <si>
    <t>Prakash Naidu</t>
  </si>
  <si>
    <t>Irfan Khan</t>
  </si>
  <si>
    <t>Tarun Bhatia</t>
  </si>
  <si>
    <t>Yusuf Sheikh</t>
  </si>
  <si>
    <t>Aditya Menon</t>
  </si>
  <si>
    <t>Sameer Qureshi</t>
  </si>
  <si>
    <t>Bala Murugan</t>
  </si>
  <si>
    <t>Harish Chandra</t>
  </si>
  <si>
    <t>Dinesh Kumar</t>
  </si>
  <si>
    <t>ZONE PERFORMANCE — BANGALORE</t>
  </si>
  <si>
    <t>Auto-aggregated across all 10 Bangalore delivery zones.</t>
  </si>
  <si>
    <t>Avg Delivery Time (min)</t>
  </si>
  <si>
    <t>Avg Prep Time (min)</t>
  </si>
  <si>
    <t>Active Riders</t>
  </si>
  <si>
    <t>Active Kitchens</t>
  </si>
  <si>
    <t>Cancellation Rate</t>
  </si>
  <si>
    <t>Customer Rating</t>
  </si>
  <si>
    <t>INVENTORY TRACKER</t>
  </si>
  <si>
    <t>Closing Stock and Restock Alert are live formulas.</t>
  </si>
  <si>
    <t>Item</t>
  </si>
  <si>
    <t>Opening Stock</t>
  </si>
  <si>
    <t>Received</t>
  </si>
  <si>
    <t>Used</t>
  </si>
  <si>
    <t>Closing Stock</t>
  </si>
  <si>
    <t>Minimum Level</t>
  </si>
  <si>
    <t>Restock Alert</t>
  </si>
  <si>
    <t>Basmati Rice (kg)</t>
  </si>
  <si>
    <t>Chicken Breast (kg)</t>
  </si>
  <si>
    <t>Paneer (kg)</t>
  </si>
  <si>
    <t>Noodles Pack</t>
  </si>
  <si>
    <t>Milk (ltr)</t>
  </si>
  <si>
    <t>Disposable Bowls</t>
  </si>
  <si>
    <t>Delivery Bags</t>
  </si>
  <si>
    <t>Napkins Pack</t>
  </si>
  <si>
    <t>Cold Drink Cans</t>
  </si>
  <si>
    <t>Bread Loaf</t>
  </si>
  <si>
    <t>Onions (kg)</t>
  </si>
  <si>
    <t>Tomatoes (kg)</t>
  </si>
  <si>
    <t>Cooking Oil (ltr)</t>
  </si>
  <si>
    <t>Butter (kg)</t>
  </si>
  <si>
    <t>Coffee Powder (kg)</t>
  </si>
  <si>
    <t>Sugar (kg)</t>
  </si>
  <si>
    <t>Paper Cups</t>
  </si>
  <si>
    <t>Sauce Sachets</t>
  </si>
  <si>
    <t>Ice Cream Tub</t>
  </si>
  <si>
    <t>Spice Mix Pack</t>
  </si>
  <si>
    <t>RIDER ATTENDANCE</t>
  </si>
  <si>
    <t>Rider Name uses VLOOKUP against Rider Performance Tracker.</t>
  </si>
  <si>
    <t>Check-in</t>
  </si>
  <si>
    <t>Check-out</t>
  </si>
  <si>
    <t>Break Time (hrs)</t>
  </si>
  <si>
    <t>Total Hours</t>
  </si>
  <si>
    <t>Attendance Status</t>
  </si>
  <si>
    <t>Leave</t>
  </si>
  <si>
    <t>Present</t>
  </si>
  <si>
    <t>Half Day</t>
  </si>
  <si>
    <t>Absent</t>
  </si>
  <si>
    <t>CUSTOMER COMPLAINTS</t>
  </si>
  <si>
    <t>Zone is pulled live via VLOOKUP from the Order ID.</t>
  </si>
  <si>
    <t>Complaint ID</t>
  </si>
  <si>
    <t>Complaint Type</t>
  </si>
  <si>
    <t>Resolution Time (hrs)</t>
  </si>
  <si>
    <t>Responsible Team</t>
  </si>
  <si>
    <t>CMP2001</t>
  </si>
  <si>
    <t>Wrong Order</t>
  </si>
  <si>
    <t>Resolved</t>
  </si>
  <si>
    <t>Customer Support</t>
  </si>
  <si>
    <t>CMP2002</t>
  </si>
  <si>
    <t>Kitchen Ops</t>
  </si>
  <si>
    <t>CMP2003</t>
  </si>
  <si>
    <t>Missing Item</t>
  </si>
  <si>
    <t>Logistics</t>
  </si>
  <si>
    <t>CMP2004</t>
  </si>
  <si>
    <t>Late Delivery</t>
  </si>
  <si>
    <t>In Progress</t>
  </si>
  <si>
    <t>CMP2005</t>
  </si>
  <si>
    <t>Refund Issue</t>
  </si>
  <si>
    <t>Escalated</t>
  </si>
  <si>
    <t>CMP2006</t>
  </si>
  <si>
    <t>CMP2007</t>
  </si>
  <si>
    <t>Rider Behaviour</t>
  </si>
  <si>
    <t>CMP2008</t>
  </si>
  <si>
    <t>CMP2009</t>
  </si>
  <si>
    <t>Rider Ops</t>
  </si>
  <si>
    <t>CMP2010</t>
  </si>
  <si>
    <t>CMP2011</t>
  </si>
  <si>
    <t>Open</t>
  </si>
  <si>
    <t>CMP2012</t>
  </si>
  <si>
    <t>CMP2013</t>
  </si>
  <si>
    <t>CMP2014</t>
  </si>
  <si>
    <t>Food Quality</t>
  </si>
  <si>
    <t>CMP2015</t>
  </si>
  <si>
    <t>CANCELLATION &amp; REFUND TRACKER</t>
  </si>
  <si>
    <t>Zone and Order Value pulled live via VLOOKUP from Daily Order Tracker.</t>
  </si>
  <si>
    <t>Order Value (₹)</t>
  </si>
  <si>
    <t>Cancellation Reason</t>
  </si>
  <si>
    <t>Refund Amount (₹)</t>
  </si>
  <si>
    <t>Responsible Stage</t>
  </si>
  <si>
    <t>Recovery Analysis</t>
  </si>
  <si>
    <t>Address unserviceable</t>
  </si>
  <si>
    <t>Payment</t>
  </si>
  <si>
    <t>Refunded to Source</t>
  </si>
  <si>
    <t>Rider unavailable</t>
  </si>
  <si>
    <t>Under Review</t>
  </si>
  <si>
    <t>Customer changed mind</t>
  </si>
  <si>
    <t>Delivery</t>
  </si>
  <si>
    <t>Refunded to Wallet</t>
  </si>
  <si>
    <t>Payment failed</t>
  </si>
  <si>
    <t>Kitchen closed item unavailable</t>
  </si>
  <si>
    <t>Order Placement</t>
  </si>
  <si>
    <t>Non-recoverable</t>
  </si>
  <si>
    <t>Rider 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</si>
</sst>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\₹#,##0"/>
    <numFmt numFmtId="166" formatCode="0.0%"/>
    <numFmt numFmtId="167" formatCode="0.0"/>
  </numFmts>
  <fonts count="19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6E6E6E"/>
      <name val="Arial"/>
      <charset val="1"/>
    </font>
    <font>
      <b/>
      <sz val="10"/>
      <name val="Arial"/>
      <charset val="1"/>
    </font>
    <font>
      <b/>
      <sz val="10"/>
      <color rgb="FFCC5200"/>
      <name val="Arial"/>
      <charset val="1"/>
    </font>
    <font>
      <b/>
      <sz val="20"/>
      <color rgb="FFCC5200"/>
      <name val="Arial"/>
      <charset val="1"/>
    </font>
    <font>
      <b/>
      <sz val="20"/>
      <color rgb="FF00A651"/>
      <name val="Arial"/>
      <charset val="1"/>
    </font>
    <font>
      <b/>
      <sz val="20"/>
      <color rgb="FFB9770E"/>
      <name val="Arial"/>
      <charset val="1"/>
    </font>
    <font>
      <b/>
      <sz val="20"/>
      <color rgb="FFE74C3C"/>
      <name val="Arial"/>
      <charset val="1"/>
    </font>
    <font>
      <b/>
      <sz val="9.5"/>
      <color rgb="FF2D2D2D"/>
      <name val="Arial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b/>
      <sz val="8"/>
      <color rgb="FFFFFFFF"/>
      <name val="Arial"/>
      <charset val="1"/>
    </font>
    <font>
      <sz val="10"/>
      <color rgb="FF2D2D2D"/>
      <name val="Arial"/>
      <charset val="1"/>
    </font>
    <font>
      <b/>
      <sz val="10"/>
      <color rgb="FFFFFFFF"/>
      <name val="Arial"/>
      <charset val="1"/>
    </font>
    <font>
      <i/>
      <sz val="9"/>
      <color rgb="FF6E6E6E"/>
      <name val="Arial"/>
      <charset val="1"/>
    </font>
    <font>
      <b/>
      <sz val="11"/>
      <color rgb="FFFFFFFF"/>
      <name val="Arial"/>
      <charset val="1"/>
    </font>
    <font>
      <sz val="9"/>
      <color rgb="FF6E6E6E"/>
      <name val="Arial"/>
      <charset val="1"/>
    </font>
    <font>
      <b/>
      <sz val="11"/>
      <color rgb="FF1F4E9C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CC5200"/>
        <bgColor rgb="FFE74C3C"/>
      </patternFill>
    </fill>
    <fill>
      <patternFill patternType="solid">
        <fgColor rgb="FFFFE3CC"/>
        <bgColor rgb="FFFDEBD0"/>
      </patternFill>
    </fill>
    <fill>
      <patternFill patternType="solid">
        <fgColor rgb="FFD9F2E3"/>
        <bgColor rgb="FFF5F5F5"/>
      </patternFill>
    </fill>
    <fill>
      <patternFill patternType="solid">
        <fgColor rgb="FFFDEBD0"/>
        <bgColor rgb="FFFFE3CC"/>
      </patternFill>
    </fill>
    <fill>
      <patternFill patternType="solid">
        <fgColor rgb="FFFADBD8"/>
        <bgColor rgb="FFFFE3CC"/>
      </patternFill>
    </fill>
    <fill>
      <patternFill patternType="solid">
        <fgColor rgb="FFFFFFFF"/>
        <bgColor rgb="FFF9F9F9"/>
      </patternFill>
    </fill>
    <fill>
      <patternFill patternType="solid">
        <fgColor rgb="FF00A651"/>
        <bgColor rgb="FF008000"/>
      </patternFill>
    </fill>
    <fill>
      <patternFill patternType="solid">
        <fgColor rgb="FFF5F5F5"/>
        <bgColor rgb="FFF9F9F9"/>
      </patternFill>
    </fill>
    <fill>
      <patternFill patternType="solid">
        <fgColor rgb="FFFF6600"/>
        <bgColor rgb="FFE74C3C"/>
      </patternFill>
    </fill>
    <fill>
      <patternFill patternType="solid">
        <fgColor rgb="FFB5B5B5"/>
        <bgColor rgb="FFBDB4CB"/>
      </patternFill>
    </fill>
  </fills>
  <borders count="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164" fontId="4" fillId="0" borderId="0" xfId="0" applyNumberFormat="1" applyFont="1"/>
    <xf numFmtId="0" fontId="11" fillId="8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165" fontId="13" fillId="7" borderId="1" xfId="0" applyNumberFormat="1" applyFont="1" applyFill="1" applyBorder="1" applyAlignment="1">
      <alignment horizontal="center" vertical="center"/>
    </xf>
    <xf numFmtId="167" fontId="13" fillId="7" borderId="1" xfId="0" applyNumberFormat="1" applyFont="1" applyFill="1" applyBorder="1" applyAlignment="1">
      <alignment horizontal="center" vertical="center"/>
    </xf>
    <xf numFmtId="166" fontId="13" fillId="7" borderId="1" xfId="0" applyNumberFormat="1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165" fontId="13" fillId="9" borderId="1" xfId="0" applyNumberFormat="1" applyFont="1" applyFill="1" applyBorder="1" applyAlignment="1">
      <alignment horizontal="center" vertical="center"/>
    </xf>
    <xf numFmtId="167" fontId="13" fillId="9" borderId="1" xfId="0" applyNumberFormat="1" applyFont="1" applyFill="1" applyBorder="1" applyAlignment="1">
      <alignment horizontal="center" vertical="center"/>
    </xf>
    <xf numFmtId="166" fontId="13" fillId="9" borderId="1" xfId="0" applyNumberFormat="1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164" fontId="13" fillId="9" borderId="1" xfId="0" applyNumberFormat="1" applyFont="1" applyFill="1" applyBorder="1" applyAlignment="1">
      <alignment horizontal="center" vertical="center"/>
    </xf>
    <xf numFmtId="18" fontId="13" fillId="9" borderId="1" xfId="0" applyNumberFormat="1" applyFont="1" applyFill="1" applyBorder="1" applyAlignment="1">
      <alignment horizontal="center" vertical="center"/>
    </xf>
    <xf numFmtId="167" fontId="15" fillId="9" borderId="1" xfId="0" applyNumberFormat="1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164" fontId="13" fillId="7" borderId="1" xfId="0" applyNumberFormat="1" applyFont="1" applyFill="1" applyBorder="1" applyAlignment="1">
      <alignment horizontal="center" vertical="center"/>
    </xf>
    <xf numFmtId="18" fontId="13" fillId="7" borderId="1" xfId="0" applyNumberFormat="1" applyFont="1" applyFill="1" applyBorder="1" applyAlignment="1">
      <alignment horizontal="center" vertical="center"/>
    </xf>
    <xf numFmtId="167" fontId="15" fillId="7" borderId="1" xfId="0" applyNumberFormat="1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9" fontId="13" fillId="9" borderId="1" xfId="0" applyNumberFormat="1" applyFont="1" applyFill="1" applyBorder="1" applyAlignment="1">
      <alignment horizontal="center" vertical="center"/>
    </xf>
    <xf numFmtId="0" fontId="17" fillId="0" borderId="0" xfId="0" applyFont="1"/>
    <xf numFmtId="0" fontId="18" fillId="3" borderId="0" xfId="0" applyFont="1" applyFill="1" applyAlignment="1">
      <alignment horizontal="center"/>
    </xf>
    <xf numFmtId="9" fontId="13" fillId="7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9" fillId="7" borderId="1" xfId="0" applyFont="1" applyFill="1" applyBorder="1" applyAlignment="1">
      <alignment horizontal="center" vertical="center" wrapText="1"/>
    </xf>
    <xf numFmtId="0" fontId="10" fillId="8" borderId="0" xfId="0" applyFont="1" applyFill="1" applyAlignment="1">
      <alignment horizontal="left" vertical="center" indent="1"/>
    </xf>
    <xf numFmtId="0" fontId="10" fillId="2" borderId="0" xfId="0" applyFont="1" applyFill="1" applyAlignment="1">
      <alignment horizontal="left" vertical="center" indent="1"/>
    </xf>
    <xf numFmtId="167" fontId="6" fillId="4" borderId="1" xfId="0" applyNumberFormat="1" applyFont="1" applyFill="1" applyBorder="1" applyAlignment="1">
      <alignment horizontal="center" vertical="center"/>
    </xf>
    <xf numFmtId="167" fontId="5" fillId="3" borderId="1" xfId="0" applyNumberFormat="1" applyFont="1" applyFill="1" applyBorder="1" applyAlignment="1">
      <alignment horizontal="center" vertical="center"/>
    </xf>
    <xf numFmtId="166" fontId="7" fillId="5" borderId="1" xfId="0" applyNumberFormat="1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1" fontId="8" fillId="6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166" fontId="5" fillId="3" borderId="2" xfId="0" applyNumberFormat="1" applyFont="1" applyFill="1" applyBorder="1" applyAlignment="1">
      <alignment horizontal="center" vertical="center"/>
    </xf>
    <xf numFmtId="166" fontId="5" fillId="3" borderId="3" xfId="0" applyNumberFormat="1" applyFont="1" applyFill="1" applyBorder="1" applyAlignment="1">
      <alignment horizontal="center" vertical="center"/>
    </xf>
    <xf numFmtId="166" fontId="5" fillId="3" borderId="4" xfId="0" applyNumberFormat="1" applyFont="1" applyFill="1" applyBorder="1" applyAlignment="1">
      <alignment horizontal="center" vertical="center"/>
    </xf>
    <xf numFmtId="166" fontId="5" fillId="3" borderId="5" xfId="0" applyNumberFormat="1" applyFont="1" applyFill="1" applyBorder="1" applyAlignment="1">
      <alignment horizontal="center" vertical="center"/>
    </xf>
    <xf numFmtId="166" fontId="5" fillId="3" borderId="6" xfId="0" applyNumberFormat="1" applyFont="1" applyFill="1" applyBorder="1" applyAlignment="1">
      <alignment horizontal="center" vertical="center"/>
    </xf>
    <xf numFmtId="166" fontId="5" fillId="3" borderId="7" xfId="0" applyNumberFormat="1" applyFont="1" applyFill="1" applyBorder="1" applyAlignment="1">
      <alignment horizontal="center" vertical="center"/>
    </xf>
    <xf numFmtId="0" fontId="16" fillId="2" borderId="0" xfId="0" applyFont="1" applyFill="1"/>
  </cellXfs>
  <cellStyles count="1">
    <cellStyle name="Normal" xfId="0" builtinId="0"/>
  </cellStyles>
  <dxfs count="16">
    <dxf>
      <fill>
        <patternFill>
          <bgColor rgb="FFD9F2E3"/>
        </patternFill>
      </fill>
    </dxf>
    <dxf>
      <fill>
        <patternFill>
          <bgColor rgb="FFFADBD8"/>
        </patternFill>
      </fill>
    </dxf>
    <dxf>
      <fill>
        <patternFill>
          <bgColor rgb="FFFDEBD0"/>
        </patternFill>
      </fill>
    </dxf>
    <dxf>
      <fill>
        <patternFill>
          <bgColor rgb="FFD9F2E3"/>
        </patternFill>
      </fill>
    </dxf>
    <dxf>
      <font>
        <b/>
        <color rgb="FFE74C3C"/>
      </font>
      <fill>
        <patternFill>
          <bgColor rgb="FFFADBD8"/>
        </patternFill>
      </fill>
    </dxf>
    <dxf>
      <fill>
        <patternFill>
          <bgColor rgb="FFFDEBD0"/>
        </patternFill>
      </fill>
    </dxf>
    <dxf>
      <fill>
        <patternFill>
          <bgColor rgb="FFD9F2E3"/>
        </patternFill>
      </fill>
    </dxf>
    <dxf>
      <fill>
        <patternFill>
          <bgColor rgb="FFFADBD8"/>
        </patternFill>
      </fill>
    </dxf>
    <dxf>
      <fill>
        <patternFill>
          <bgColor rgb="FFD9F2E3"/>
        </patternFill>
      </fill>
    </dxf>
    <dxf>
      <font>
        <b/>
        <color rgb="FFE74C3C"/>
      </font>
      <fill>
        <patternFill>
          <bgColor rgb="FFFADBD8"/>
        </patternFill>
      </fill>
    </dxf>
    <dxf>
      <fill>
        <patternFill>
          <bgColor rgb="FFD9F2E3"/>
        </patternFill>
      </fill>
    </dxf>
    <dxf>
      <font>
        <b/>
        <color rgb="FFE74C3C"/>
      </font>
      <fill>
        <patternFill>
          <bgColor rgb="FFFADBD8"/>
        </patternFill>
      </fill>
    </dxf>
    <dxf>
      <font>
        <b/>
        <color rgb="FFE74C3C"/>
      </font>
      <fill>
        <patternFill>
          <bgColor rgb="FFFADBD8"/>
        </patternFill>
      </fill>
    </dxf>
    <dxf>
      <fill>
        <patternFill>
          <bgColor rgb="FFFDEBD0"/>
        </patternFill>
      </fill>
    </dxf>
    <dxf>
      <fill>
        <patternFill>
          <bgColor rgb="FFFADBD8"/>
        </patternFill>
      </fill>
    </dxf>
    <dxf>
      <fill>
        <patternFill>
          <bgColor rgb="FFD9F2E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E74C3C"/>
      <rgbColor rgb="FF00FF00"/>
      <rgbColor rgb="FF0000FF"/>
      <rgbColor rgb="FFC7D6B1"/>
      <rgbColor rgb="FFFF00FF"/>
      <rgbColor rgb="FF00FFFF"/>
      <rgbColor rgb="FFC07332"/>
      <rgbColor rgb="FF008000"/>
      <rgbColor rgb="FF000080"/>
      <rgbColor rgb="FF789142"/>
      <rgbColor rgb="FFC77978"/>
      <rgbColor rgb="FF00A651"/>
      <rgbColor rgb="FFBDB4CB"/>
      <rgbColor rgb="FF878787"/>
      <rgbColor rgb="FF7997C4"/>
      <rgbColor rgb="FF953B38"/>
      <rgbColor rgb="FFFDEBD0"/>
      <rgbColor rgb="FFF5F5F5"/>
      <rgbColor rgb="FF660066"/>
      <rgbColor rgb="FFF5A574"/>
      <rgbColor rgb="FFB5B5B5"/>
      <rgbColor rgb="FFD9D9D9"/>
      <rgbColor rgb="FF000080"/>
      <rgbColor rgb="FFFF00FF"/>
      <rgbColor rgb="FFFADBD8"/>
      <rgbColor rgb="FF00FFFF"/>
      <rgbColor rgb="FF800080"/>
      <rgbColor rgb="FFB9770E"/>
      <rgbColor rgb="FF6E6E6E"/>
      <rgbColor rgb="FF0000FF"/>
      <rgbColor rgb="FF77B6CC"/>
      <rgbColor rgb="FFF9F9F9"/>
      <rgbColor rgb="FFD9F2E3"/>
      <rgbColor rgb="FFFFE3CC"/>
      <rgbColor rgb="FFB0CFDC"/>
      <rgbColor rgb="FFD9B0B0"/>
      <rgbColor rgb="FFB0BED7"/>
      <rgbColor rgb="FFF6C4AE"/>
      <rgbColor rgb="FF4475B0"/>
      <rgbColor rgb="FF419FB7"/>
      <rgbColor rgb="FF8EAD4F"/>
      <rgbColor rgb="FFA9C37E"/>
      <rgbColor rgb="FFE5883B"/>
      <rgbColor rgb="FFFF6600"/>
      <rgbColor rgb="FF745994"/>
      <rgbColor rgb="FF9684AF"/>
      <rgbColor rgb="FF003366"/>
      <rgbColor rgb="FF37859A"/>
      <rgbColor rgb="FF003300"/>
      <rgbColor rgb="FF624B7D"/>
      <rgbColor rgb="FFCC5200"/>
      <rgbColor rgb="FFB24543"/>
      <rgbColor rgb="FF1F4E9C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Orders per Hour</c:v>
          </c:tx>
          <c:spPr>
            <a:ln w="28440">
              <a:solidFill>
                <a:srgbClr val="FF6600"/>
              </a:solidFill>
              <a:round/>
            </a:ln>
          </c:spPr>
          <c:marker>
            <c:symbol val="circle"/>
            <c:size val="5"/>
            <c:spPr>
              <a:solidFill>
                <a:srgbClr val="FF66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Hourly_Helper!$B$1:$Y$1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Hourly_Helper!$B$12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305-4D86-951C-150524B44BC2}"/>
            </c:ext>
          </c:extLst>
        </c:ser>
        <c:ser>
          <c:idx val="1"/>
          <c:order val="1"/>
          <c:spPr>
            <a:ln w="28440">
              <a:solidFill>
                <a:srgbClr val="953B3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Hourly_Helper!$B$1:$Y$1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Hourly_Helper!$C$12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305-4D86-951C-150524B44BC2}"/>
            </c:ext>
          </c:extLst>
        </c:ser>
        <c:ser>
          <c:idx val="2"/>
          <c:order val="2"/>
          <c:spPr>
            <a:ln w="28440">
              <a:solidFill>
                <a:srgbClr val="78914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Hourly_Helper!$B$1:$Y$1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Hourly_Helper!$D$12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305-4D86-951C-150524B44BC2}"/>
            </c:ext>
          </c:extLst>
        </c:ser>
        <c:ser>
          <c:idx val="3"/>
          <c:order val="3"/>
          <c:spPr>
            <a:ln w="28440">
              <a:solidFill>
                <a:srgbClr val="624B7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Hourly_Helper!$B$1:$Y$1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Hourly_Helper!$E$12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305-4D86-951C-150524B44BC2}"/>
            </c:ext>
          </c:extLst>
        </c:ser>
        <c:ser>
          <c:idx val="4"/>
          <c:order val="4"/>
          <c:spPr>
            <a:ln w="28440">
              <a:solidFill>
                <a:srgbClr val="37859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Hourly_Helper!$B$1:$Y$1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Hourly_Helper!$F$12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5305-4D86-951C-150524B44BC2}"/>
            </c:ext>
          </c:extLst>
        </c:ser>
        <c:ser>
          <c:idx val="5"/>
          <c:order val="5"/>
          <c:spPr>
            <a:ln w="28440">
              <a:solidFill>
                <a:srgbClr val="C073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Hourly_Helper!$B$1:$Y$1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Hourly_Helper!$G$12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5305-4D86-951C-150524B44BC2}"/>
            </c:ext>
          </c:extLst>
        </c:ser>
        <c:ser>
          <c:idx val="6"/>
          <c:order val="6"/>
          <c:spPr>
            <a:ln w="28440">
              <a:solidFill>
                <a:srgbClr val="4475B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Hourly_Helper!$B$1:$Y$1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Hourly_Helper!$H$12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5305-4D86-951C-150524B44BC2}"/>
            </c:ext>
          </c:extLst>
        </c:ser>
        <c:ser>
          <c:idx val="7"/>
          <c:order val="7"/>
          <c:spPr>
            <a:ln w="28440">
              <a:solidFill>
                <a:srgbClr val="B2454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Hourly_Helper!$B$1:$Y$1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Hourly_Helper!$I$12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5305-4D86-951C-150524B44BC2}"/>
            </c:ext>
          </c:extLst>
        </c:ser>
        <c:ser>
          <c:idx val="8"/>
          <c:order val="8"/>
          <c:spPr>
            <a:ln w="28440">
              <a:solidFill>
                <a:srgbClr val="8EAD4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Hourly_Helper!$B$1:$Y$1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Hourly_Helper!$J$12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5305-4D86-951C-150524B44BC2}"/>
            </c:ext>
          </c:extLst>
        </c:ser>
        <c:ser>
          <c:idx val="9"/>
          <c:order val="9"/>
          <c:spPr>
            <a:ln w="28440">
              <a:solidFill>
                <a:srgbClr val="74599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Hourly_Helper!$B$1:$Y$1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Hourly_Helper!$K$12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5305-4D86-951C-150524B44BC2}"/>
            </c:ext>
          </c:extLst>
        </c:ser>
        <c:ser>
          <c:idx val="10"/>
          <c:order val="10"/>
          <c:spPr>
            <a:ln w="28440">
              <a:solidFill>
                <a:srgbClr val="419FB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Hourly_Helper!$B$1:$Y$1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Hourly_Helper!$L$12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5305-4D86-951C-150524B44BC2}"/>
            </c:ext>
          </c:extLst>
        </c:ser>
        <c:ser>
          <c:idx val="11"/>
          <c:order val="11"/>
          <c:spPr>
            <a:ln w="28440">
              <a:solidFill>
                <a:srgbClr val="E5883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Hourly_Helper!$B$1:$Y$1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Hourly_Helper!$M$12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5305-4D86-951C-150524B44BC2}"/>
            </c:ext>
          </c:extLst>
        </c:ser>
        <c:ser>
          <c:idx val="12"/>
          <c:order val="12"/>
          <c:spPr>
            <a:ln w="28440">
              <a:solidFill>
                <a:srgbClr val="7997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Hourly_Helper!$B$1:$Y$1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Hourly_Helper!$N$12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5305-4D86-951C-150524B44BC2}"/>
            </c:ext>
          </c:extLst>
        </c:ser>
        <c:ser>
          <c:idx val="13"/>
          <c:order val="13"/>
          <c:spPr>
            <a:ln w="28440">
              <a:solidFill>
                <a:srgbClr val="C7797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Hourly_Helper!$B$1:$Y$1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Hourly_Helper!$O$12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5305-4D86-951C-150524B44BC2}"/>
            </c:ext>
          </c:extLst>
        </c:ser>
        <c:ser>
          <c:idx val="14"/>
          <c:order val="14"/>
          <c:spPr>
            <a:ln w="28440">
              <a:solidFill>
                <a:srgbClr val="A9C37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Hourly_Helper!$B$1:$Y$1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Hourly_Helper!$P$12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5305-4D86-951C-150524B44BC2}"/>
            </c:ext>
          </c:extLst>
        </c:ser>
        <c:ser>
          <c:idx val="15"/>
          <c:order val="15"/>
          <c:spPr>
            <a:ln w="28440">
              <a:solidFill>
                <a:srgbClr val="9684A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Hourly_Helper!$B$1:$Y$1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Hourly_Helper!$Q$12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5305-4D86-951C-150524B44BC2}"/>
            </c:ext>
          </c:extLst>
        </c:ser>
        <c:ser>
          <c:idx val="16"/>
          <c:order val="16"/>
          <c:spPr>
            <a:ln w="28440">
              <a:solidFill>
                <a:srgbClr val="77B6C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Hourly_Helper!$B$1:$Y$1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Hourly_Helper!$R$12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5305-4D86-951C-150524B44BC2}"/>
            </c:ext>
          </c:extLst>
        </c:ser>
        <c:ser>
          <c:idx val="17"/>
          <c:order val="17"/>
          <c:spPr>
            <a:ln w="28440">
              <a:solidFill>
                <a:srgbClr val="F5A57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Hourly_Helper!$B$1:$Y$1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Hourly_Helper!$S$12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5305-4D86-951C-150524B44BC2}"/>
            </c:ext>
          </c:extLst>
        </c:ser>
        <c:ser>
          <c:idx val="18"/>
          <c:order val="18"/>
          <c:spPr>
            <a:ln w="28440">
              <a:solidFill>
                <a:srgbClr val="B0BED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Hourly_Helper!$B$1:$Y$1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Hourly_Helper!$T$12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5305-4D86-951C-150524B44BC2}"/>
            </c:ext>
          </c:extLst>
        </c:ser>
        <c:ser>
          <c:idx val="19"/>
          <c:order val="19"/>
          <c:spPr>
            <a:ln w="28440">
              <a:solidFill>
                <a:srgbClr val="D9B0B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Hourly_Helper!$B$1:$Y$1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Hourly_Helper!$U$12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5305-4D86-951C-150524B44BC2}"/>
            </c:ext>
          </c:extLst>
        </c:ser>
        <c:ser>
          <c:idx val="20"/>
          <c:order val="20"/>
          <c:spPr>
            <a:ln w="28440">
              <a:solidFill>
                <a:srgbClr val="C7D6B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Hourly_Helper!$B$1:$Y$1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Hourly_Helper!$V$12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5305-4D86-951C-150524B44BC2}"/>
            </c:ext>
          </c:extLst>
        </c:ser>
        <c:ser>
          <c:idx val="21"/>
          <c:order val="21"/>
          <c:spPr>
            <a:ln w="28440">
              <a:solidFill>
                <a:srgbClr val="BDB4C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Hourly_Helper!$B$1:$Y$1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Hourly_Helper!$W$12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5305-4D86-951C-150524B44BC2}"/>
            </c:ext>
          </c:extLst>
        </c:ser>
        <c:ser>
          <c:idx val="22"/>
          <c:order val="22"/>
          <c:spPr>
            <a:ln w="28440">
              <a:solidFill>
                <a:srgbClr val="B0CFD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Hourly_Helper!$B$1:$Y$1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Hourly_Helper!$X$12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5305-4D86-951C-150524B44BC2}"/>
            </c:ext>
          </c:extLst>
        </c:ser>
        <c:ser>
          <c:idx val="23"/>
          <c:order val="23"/>
          <c:spPr>
            <a:ln w="28440">
              <a:solidFill>
                <a:srgbClr val="F6C4A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Hourly_Helper!$B$1:$Y$1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Hourly_Helper!$Y$12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5305-4D86-951C-150524B44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6251617"/>
        <c:axId val="50163706"/>
      </c:lineChart>
      <c:catAx>
        <c:axId val="162516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Hour of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63706"/>
        <c:crosses val="autoZero"/>
        <c:auto val="1"/>
        <c:lblAlgn val="ctr"/>
        <c:lblOffset val="100"/>
        <c:noMultiLvlLbl val="0"/>
      </c:catAx>
      <c:valAx>
        <c:axId val="501637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2516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Dashboard'!$C$16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FF66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Dashboard'!$A$17:$A$26</c:f>
              <c:strCache>
                <c:ptCount val="10"/>
                <c:pt idx="0">
                  <c:v>Koramangala</c:v>
                </c:pt>
                <c:pt idx="1">
                  <c:v>HSR Layout</c:v>
                </c:pt>
                <c:pt idx="2">
                  <c:v>Indiranagar</c:v>
                </c:pt>
                <c:pt idx="3">
                  <c:v>Whitefield</c:v>
                </c:pt>
                <c:pt idx="4">
                  <c:v>Electronic City</c:v>
                </c:pt>
                <c:pt idx="5">
                  <c:v>Marathahalli</c:v>
                </c:pt>
                <c:pt idx="6">
                  <c:v>JP Nagar</c:v>
                </c:pt>
                <c:pt idx="7">
                  <c:v>BTM Layout</c:v>
                </c:pt>
                <c:pt idx="8">
                  <c:v>Bellandur</c:v>
                </c:pt>
                <c:pt idx="9">
                  <c:v>Sarjapur</c:v>
                </c:pt>
              </c:strCache>
            </c:strRef>
          </c:cat>
          <c:val>
            <c:numRef>
              <c:f>'Executive Dashboard'!$C$17:$C$26</c:f>
              <c:numCache>
                <c:formatCode>\₹#,##0</c:formatCode>
                <c:ptCount val="10"/>
                <c:pt idx="0">
                  <c:v>3300</c:v>
                </c:pt>
                <c:pt idx="1">
                  <c:v>3262</c:v>
                </c:pt>
                <c:pt idx="2">
                  <c:v>3017</c:v>
                </c:pt>
                <c:pt idx="3">
                  <c:v>2851</c:v>
                </c:pt>
                <c:pt idx="4">
                  <c:v>3082</c:v>
                </c:pt>
                <c:pt idx="5">
                  <c:v>2095</c:v>
                </c:pt>
                <c:pt idx="6">
                  <c:v>2651</c:v>
                </c:pt>
                <c:pt idx="7">
                  <c:v>3148</c:v>
                </c:pt>
                <c:pt idx="8">
                  <c:v>3542</c:v>
                </c:pt>
                <c:pt idx="9">
                  <c:v>2647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A7-4BC9-83AE-92CD77D3B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280710"/>
        <c:axId val="16351051"/>
      </c:barChart>
      <c:catAx>
        <c:axId val="792807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351051"/>
        <c:crosses val="autoZero"/>
        <c:auto val="1"/>
        <c:lblAlgn val="ctr"/>
        <c:lblOffset val="100"/>
        <c:noMultiLvlLbl val="0"/>
      </c:catAx>
      <c:valAx>
        <c:axId val="163510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2807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31751</xdr:colOff>
      <xdr:row>28</xdr:row>
      <xdr:rowOff>63499</xdr:rowOff>
    </xdr:from>
    <xdr:to>
      <xdr:col>5</xdr:col>
      <xdr:colOff>709084</xdr:colOff>
      <xdr:row>43</xdr:row>
      <xdr:rowOff>93892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21167</xdr:colOff>
      <xdr:row>28</xdr:row>
      <xdr:rowOff>82156</xdr:rowOff>
    </xdr:from>
    <xdr:to>
      <xdr:col>12</xdr:col>
      <xdr:colOff>170054</xdr:colOff>
      <xdr:row>43</xdr:row>
      <xdr:rowOff>115060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A651"/>
    <pageSetUpPr fitToPage="1"/>
  </sheetPr>
  <dimension ref="A1:L28"/>
  <sheetViews>
    <sheetView showGridLines="0" tabSelected="1" zoomScale="90" zoomScaleNormal="90" workbookViewId="0">
      <pane ySplit="3" topLeftCell="A4" activePane="bottomLeft" state="frozen"/>
      <selection pane="bottomLeft" activeCell="G10" sqref="G10:H12"/>
    </sheetView>
  </sheetViews>
  <sheetFormatPr defaultColWidth="8.7109375" defaultRowHeight="15" x14ac:dyDescent="0.25"/>
  <cols>
    <col min="1" max="1" width="16" customWidth="1"/>
    <col min="2" max="2" width="12.5703125" bestFit="1" customWidth="1"/>
    <col min="3" max="4" width="12" customWidth="1"/>
    <col min="5" max="5" width="10" customWidth="1"/>
    <col min="6" max="6" width="11" customWidth="1"/>
    <col min="7" max="7" width="33" customWidth="1"/>
    <col min="8" max="8" width="7" customWidth="1"/>
    <col min="9" max="9" width="3.42578125" bestFit="1" customWidth="1"/>
    <col min="10" max="10" width="20.140625" customWidth="1"/>
    <col min="11" max="12" width="8" customWidth="1"/>
  </cols>
  <sheetData>
    <row r="1" spans="1:12" ht="33.75" customHeight="1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18" customHeight="1" x14ac:dyDescent="0.25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2" x14ac:dyDescent="0.25">
      <c r="A3" s="1" t="s">
        <v>2</v>
      </c>
      <c r="B3" s="2">
        <f>MAX('Daily Order Tracker'!$A$4:$A$93)</f>
        <v>46282</v>
      </c>
    </row>
    <row r="5" spans="1:12" ht="15" customHeight="1" x14ac:dyDescent="0.25">
      <c r="A5" s="36">
        <f>COUNTIFS('Daily Order Tracker'!$A$4:$A$93,$B$3)</f>
        <v>30</v>
      </c>
      <c r="B5" s="36"/>
      <c r="C5" s="38">
        <f>COUNTIFS('Daily Order Tracker'!$A$4:$A$93,$B$3,'Daily Order Tracker'!$N$4:$N$93,"Delivered")</f>
        <v>17</v>
      </c>
      <c r="D5" s="38"/>
      <c r="E5" s="39">
        <f>COUNTIFS('Daily Order Tracker'!$A$4:$A$93,$B$3,'Daily Order Tracker'!$N$4:$N$93,"&lt;&gt;Delivered",'Daily Order Tracker'!$N$4:$N$93,"&lt;&gt;Cancelled")</f>
        <v>8</v>
      </c>
      <c r="F5" s="39"/>
      <c r="G5" s="37">
        <f>COUNTIF('Daily Order Tracker'!$N$4:$N$93,"Cancelled")</f>
        <v>10</v>
      </c>
      <c r="H5" s="37"/>
      <c r="I5" s="35">
        <f>SUMIFS('Daily Order Tracker'!$P$4:$P$93,'Daily Order Tracker'!$N$4:$N$93,"Delivered")</f>
        <v>29595</v>
      </c>
      <c r="J5" s="35"/>
      <c r="K5" s="40">
        <f>IFERROR(COUNTIFS('Daily Order Tracker'!$N$4:$N$93,"Delivered",'Daily Order Tracker'!$M$4:$M$93,"&lt;=10")/COUNTIF('Daily Order Tracker'!$N$4:$N$93,"Delivered"),0)</f>
        <v>0.25</v>
      </c>
      <c r="L5" s="41"/>
    </row>
    <row r="6" spans="1:12" ht="15" customHeight="1" x14ac:dyDescent="0.25">
      <c r="A6" s="36"/>
      <c r="B6" s="36"/>
      <c r="C6" s="38"/>
      <c r="D6" s="38"/>
      <c r="E6" s="39"/>
      <c r="F6" s="39"/>
      <c r="G6" s="37"/>
      <c r="H6" s="37"/>
      <c r="I6" s="35"/>
      <c r="J6" s="35"/>
      <c r="K6" s="42"/>
      <c r="L6" s="43"/>
    </row>
    <row r="7" spans="1:12" ht="15" customHeight="1" x14ac:dyDescent="0.25">
      <c r="A7" s="36"/>
      <c r="B7" s="36"/>
      <c r="C7" s="38"/>
      <c r="D7" s="38"/>
      <c r="E7" s="39"/>
      <c r="F7" s="39"/>
      <c r="G7" s="37"/>
      <c r="H7" s="37"/>
      <c r="I7" s="35"/>
      <c r="J7" s="35"/>
      <c r="K7" s="44"/>
      <c r="L7" s="45"/>
    </row>
    <row r="8" spans="1:12" ht="23.85" customHeight="1" x14ac:dyDescent="0.25">
      <c r="A8" s="29" t="s">
        <v>3</v>
      </c>
      <c r="B8" s="29"/>
      <c r="C8" s="29" t="s">
        <v>4</v>
      </c>
      <c r="D8" s="29"/>
      <c r="E8" s="29" t="s">
        <v>5</v>
      </c>
      <c r="F8" s="29"/>
      <c r="G8" s="29" t="s">
        <v>6</v>
      </c>
      <c r="H8" s="29"/>
      <c r="I8" s="29" t="s">
        <v>7</v>
      </c>
      <c r="J8" s="29"/>
      <c r="K8" s="29" t="s">
        <v>8</v>
      </c>
      <c r="L8" s="29"/>
    </row>
    <row r="10" spans="1:12" x14ac:dyDescent="0.25">
      <c r="A10" s="32">
        <f>IFERROR(AVERAGEIFS('Daily Order Tracker'!$M$4:$M$93,'Daily Order Tracker'!$M$4:$M$93,"&lt;&gt;"),0)</f>
        <v>11.875000000000044</v>
      </c>
      <c r="B10" s="32"/>
      <c r="C10" s="33">
        <f>IFERROR(AVERAGEIFS('Daily Order Tracker'!$Q$4:$Q$93,'Daily Order Tracker'!$Q$4:$Q$93,"&lt;&gt;"),0)</f>
        <v>5.9600000000000799</v>
      </c>
      <c r="D10" s="33"/>
      <c r="E10" s="34">
        <f>AVERAGE('Rider Performance Tracker'!$F$4:$F$23)/20</f>
        <v>0.18</v>
      </c>
      <c r="F10" s="34"/>
      <c r="G10" s="35">
        <f>IFERROR(AVERAGEIFS('Daily Order Tracker'!$P$4:$P$93,'Daily Order Tracker'!$N$4:$N$93,"Delivered"),0)</f>
        <v>411.04166666666669</v>
      </c>
      <c r="H10" s="35"/>
      <c r="I10" s="36">
        <f>COUNTA('Rider Performance Tracker'!$A$4:$A$23)</f>
        <v>20</v>
      </c>
      <c r="J10" s="36"/>
      <c r="K10" s="37">
        <f>COUNTIFS('Customer Complaints'!$F$4:$F$18,"&lt;&gt;Resolved")</f>
        <v>8</v>
      </c>
      <c r="L10" s="37"/>
    </row>
    <row r="11" spans="1:12" x14ac:dyDescent="0.25">
      <c r="A11" s="32"/>
      <c r="B11" s="32"/>
      <c r="C11" s="33"/>
      <c r="D11" s="33"/>
      <c r="E11" s="34"/>
      <c r="F11" s="34"/>
      <c r="G11" s="35"/>
      <c r="H11" s="35"/>
      <c r="I11" s="36"/>
      <c r="J11" s="36"/>
      <c r="K11" s="37"/>
      <c r="L11" s="37"/>
    </row>
    <row r="12" spans="1:12" x14ac:dyDescent="0.25">
      <c r="A12" s="32"/>
      <c r="B12" s="32"/>
      <c r="C12" s="33"/>
      <c r="D12" s="33"/>
      <c r="E12" s="34"/>
      <c r="F12" s="34"/>
      <c r="G12" s="35"/>
      <c r="H12" s="35"/>
      <c r="I12" s="36"/>
      <c r="J12" s="36"/>
      <c r="K12" s="37"/>
      <c r="L12" s="37"/>
    </row>
    <row r="13" spans="1:12" ht="23.85" customHeight="1" x14ac:dyDescent="0.25">
      <c r="A13" s="29" t="s">
        <v>9</v>
      </c>
      <c r="B13" s="29"/>
      <c r="C13" s="29" t="s">
        <v>10</v>
      </c>
      <c r="D13" s="29"/>
      <c r="E13" s="29" t="s">
        <v>11</v>
      </c>
      <c r="F13" s="29"/>
      <c r="G13" s="29" t="s">
        <v>12</v>
      </c>
      <c r="H13" s="29"/>
      <c r="I13" s="29" t="s">
        <v>13</v>
      </c>
      <c r="J13" s="29"/>
      <c r="K13" s="29" t="s">
        <v>14</v>
      </c>
      <c r="L13" s="29"/>
    </row>
    <row r="15" spans="1:12" ht="21.75" customHeight="1" x14ac:dyDescent="0.25">
      <c r="A15" s="30" t="s">
        <v>15</v>
      </c>
      <c r="B15" s="30"/>
      <c r="C15" s="30"/>
      <c r="D15" s="30"/>
      <c r="E15" s="30"/>
      <c r="F15" s="30"/>
      <c r="G15" s="31" t="s">
        <v>16</v>
      </c>
      <c r="H15" s="31"/>
      <c r="I15" s="31"/>
      <c r="J15" s="31"/>
      <c r="K15" s="31"/>
      <c r="L15" s="31"/>
    </row>
    <row r="16" spans="1:12" ht="27.75" customHeight="1" x14ac:dyDescent="0.25">
      <c r="A16" s="3" t="s">
        <v>17</v>
      </c>
      <c r="B16" s="3" t="s">
        <v>18</v>
      </c>
      <c r="C16" s="3" t="s">
        <v>19</v>
      </c>
      <c r="D16" s="3" t="s">
        <v>20</v>
      </c>
      <c r="E16" s="3" t="s">
        <v>21</v>
      </c>
      <c r="G16" s="4" t="s">
        <v>22</v>
      </c>
      <c r="H16" s="4" t="s">
        <v>23</v>
      </c>
      <c r="I16" s="4" t="s">
        <v>24</v>
      </c>
      <c r="J16" s="4" t="s">
        <v>25</v>
      </c>
      <c r="K16" s="4" t="s">
        <v>26</v>
      </c>
      <c r="L16" s="4" t="s">
        <v>27</v>
      </c>
    </row>
    <row r="17" spans="1:12" x14ac:dyDescent="0.25">
      <c r="A17" s="5" t="str">
        <f>'Zone Performance'!A4</f>
        <v>Koramangala</v>
      </c>
      <c r="B17" s="5">
        <f>'Zone Performance'!B4</f>
        <v>9</v>
      </c>
      <c r="C17" s="6">
        <f>'Zone Performance'!C4</f>
        <v>3300</v>
      </c>
      <c r="D17" s="7">
        <f>'Zone Performance'!D4</f>
        <v>10.750000000000313</v>
      </c>
      <c r="E17" s="8">
        <f>'Zone Performance'!H4</f>
        <v>0</v>
      </c>
      <c r="G17" s="5" t="str">
        <f>Hourly_Helper!A2</f>
        <v>Swish Kitchen - Koramangala</v>
      </c>
      <c r="H17" s="5">
        <f>Hourly_Helper!AA2</f>
        <v>0</v>
      </c>
      <c r="I17" s="5">
        <f>Hourly_Helper!AB2</f>
        <v>0</v>
      </c>
      <c r="J17" s="5">
        <f>Hourly_Helper!AC2</f>
        <v>2</v>
      </c>
      <c r="K17" s="5">
        <f>Hourly_Helper!AD2</f>
        <v>2</v>
      </c>
      <c r="L17" s="5">
        <f>Hourly_Helper!AE2</f>
        <v>3</v>
      </c>
    </row>
    <row r="18" spans="1:12" x14ac:dyDescent="0.25">
      <c r="A18" s="9" t="str">
        <f>'Zone Performance'!A5</f>
        <v>HSR Layout</v>
      </c>
      <c r="B18" s="9">
        <f>'Zone Performance'!B5</f>
        <v>9</v>
      </c>
      <c r="C18" s="10">
        <f>'Zone Performance'!C5</f>
        <v>3262</v>
      </c>
      <c r="D18" s="11">
        <f>'Zone Performance'!D5</f>
        <v>11.857142857143076</v>
      </c>
      <c r="E18" s="12">
        <f>'Zone Performance'!H5</f>
        <v>0.1111111111111111</v>
      </c>
      <c r="G18" s="9" t="str">
        <f>Hourly_Helper!A3</f>
        <v>Swish Kitchen - HSR Layout</v>
      </c>
      <c r="H18" s="9">
        <f>Hourly_Helper!AA3</f>
        <v>0</v>
      </c>
      <c r="I18" s="9">
        <f>Hourly_Helper!AB3</f>
        <v>0</v>
      </c>
      <c r="J18" s="9">
        <f>Hourly_Helper!AC3</f>
        <v>3</v>
      </c>
      <c r="K18" s="9">
        <f>Hourly_Helper!AD3</f>
        <v>2</v>
      </c>
      <c r="L18" s="9">
        <f>Hourly_Helper!AE3</f>
        <v>2</v>
      </c>
    </row>
    <row r="19" spans="1:12" x14ac:dyDescent="0.25">
      <c r="A19" s="5" t="str">
        <f>'Zone Performance'!A6</f>
        <v>Indiranagar</v>
      </c>
      <c r="B19" s="5">
        <f>'Zone Performance'!B6</f>
        <v>9</v>
      </c>
      <c r="C19" s="6">
        <f>'Zone Performance'!C6</f>
        <v>3017</v>
      </c>
      <c r="D19" s="7">
        <f>'Zone Performance'!D6</f>
        <v>12.285714285714196</v>
      </c>
      <c r="E19" s="8">
        <f>'Zone Performance'!H6</f>
        <v>0.22222222222222221</v>
      </c>
      <c r="G19" s="5" t="str">
        <f>Hourly_Helper!A4</f>
        <v>Swish Kitchen - Indiranagar</v>
      </c>
      <c r="H19" s="5">
        <f>Hourly_Helper!AA4</f>
        <v>0</v>
      </c>
      <c r="I19" s="5">
        <f>Hourly_Helper!AB4</f>
        <v>0</v>
      </c>
      <c r="J19" s="5">
        <f>Hourly_Helper!AC4</f>
        <v>2</v>
      </c>
      <c r="K19" s="5">
        <f>Hourly_Helper!AD4</f>
        <v>1</v>
      </c>
      <c r="L19" s="5">
        <f>Hourly_Helper!AE4</f>
        <v>6</v>
      </c>
    </row>
    <row r="20" spans="1:12" x14ac:dyDescent="0.25">
      <c r="A20" s="9" t="str">
        <f>'Zone Performance'!A7</f>
        <v>Whitefield</v>
      </c>
      <c r="B20" s="9">
        <f>'Zone Performance'!B7</f>
        <v>9</v>
      </c>
      <c r="C20" s="10">
        <f>'Zone Performance'!C7</f>
        <v>2851</v>
      </c>
      <c r="D20" s="11">
        <f>'Zone Performance'!D7</f>
        <v>11.857142857142644</v>
      </c>
      <c r="E20" s="12">
        <f>'Zone Performance'!H7</f>
        <v>0.22222222222222221</v>
      </c>
      <c r="G20" s="9" t="str">
        <f>Hourly_Helper!A5</f>
        <v>Swish Kitchen - Whitefield</v>
      </c>
      <c r="H20" s="9">
        <f>Hourly_Helper!AA5</f>
        <v>0</v>
      </c>
      <c r="I20" s="9">
        <f>Hourly_Helper!AB5</f>
        <v>0</v>
      </c>
      <c r="J20" s="9">
        <f>Hourly_Helper!AC5</f>
        <v>4</v>
      </c>
      <c r="K20" s="9">
        <f>Hourly_Helper!AD5</f>
        <v>2</v>
      </c>
      <c r="L20" s="9">
        <f>Hourly_Helper!AE5</f>
        <v>2</v>
      </c>
    </row>
    <row r="21" spans="1:12" x14ac:dyDescent="0.25">
      <c r="A21" s="5" t="str">
        <f>'Zone Performance'!A8</f>
        <v>Electronic City</v>
      </c>
      <c r="B21" s="5">
        <f>'Zone Performance'!B8</f>
        <v>9</v>
      </c>
      <c r="C21" s="6">
        <f>'Zone Performance'!C8</f>
        <v>3082</v>
      </c>
      <c r="D21" s="7">
        <f>'Zone Performance'!D8</f>
        <v>13.000000000000362</v>
      </c>
      <c r="E21" s="8">
        <f>'Zone Performance'!H8</f>
        <v>0</v>
      </c>
      <c r="G21" s="5" t="str">
        <f>Hourly_Helper!A6</f>
        <v>Swish Kitchen - Electronic City</v>
      </c>
      <c r="H21" s="5">
        <f>Hourly_Helper!AA6</f>
        <v>0</v>
      </c>
      <c r="I21" s="5">
        <f>Hourly_Helper!AB6</f>
        <v>0</v>
      </c>
      <c r="J21" s="5">
        <f>Hourly_Helper!AC6</f>
        <v>4</v>
      </c>
      <c r="K21" s="5">
        <f>Hourly_Helper!AD6</f>
        <v>3</v>
      </c>
      <c r="L21" s="5">
        <f>Hourly_Helper!AE6</f>
        <v>1</v>
      </c>
    </row>
    <row r="22" spans="1:12" x14ac:dyDescent="0.25">
      <c r="A22" s="9" t="str">
        <f>'Zone Performance'!A9</f>
        <v>Marathahalli</v>
      </c>
      <c r="B22" s="9">
        <f>'Zone Performance'!B9</f>
        <v>9</v>
      </c>
      <c r="C22" s="10">
        <f>'Zone Performance'!C9</f>
        <v>2095</v>
      </c>
      <c r="D22" s="11">
        <f>'Zone Performance'!D9</f>
        <v>10.600000000000122</v>
      </c>
      <c r="E22" s="12">
        <f>'Zone Performance'!H9</f>
        <v>0.33333333333333331</v>
      </c>
      <c r="G22" s="9" t="str">
        <f>Hourly_Helper!A7</f>
        <v>Swish Kitchen - Marathahalli</v>
      </c>
      <c r="H22" s="9">
        <f>Hourly_Helper!AA7</f>
        <v>0</v>
      </c>
      <c r="I22" s="9">
        <f>Hourly_Helper!AB7</f>
        <v>0</v>
      </c>
      <c r="J22" s="9">
        <f>Hourly_Helper!AC7</f>
        <v>3</v>
      </c>
      <c r="K22" s="9">
        <f>Hourly_Helper!AD7</f>
        <v>1</v>
      </c>
      <c r="L22" s="9">
        <f>Hourly_Helper!AE7</f>
        <v>4</v>
      </c>
    </row>
    <row r="23" spans="1:12" x14ac:dyDescent="0.25">
      <c r="A23" s="5" t="str">
        <f>'Zone Performance'!A10</f>
        <v>JP Nagar</v>
      </c>
      <c r="B23" s="5">
        <f>'Zone Performance'!B10</f>
        <v>9</v>
      </c>
      <c r="C23" s="6">
        <f>'Zone Performance'!C10</f>
        <v>2651</v>
      </c>
      <c r="D23" s="7">
        <f>'Zone Performance'!D10</f>
        <v>12.142857142857386</v>
      </c>
      <c r="E23" s="8">
        <f>'Zone Performance'!H10</f>
        <v>0.1111111111111111</v>
      </c>
      <c r="G23" s="5" t="str">
        <f>Hourly_Helper!A8</f>
        <v>Swish Kitchen - JP Nagar</v>
      </c>
      <c r="H23" s="5">
        <f>Hourly_Helper!AA8</f>
        <v>0</v>
      </c>
      <c r="I23" s="5">
        <f>Hourly_Helper!AB8</f>
        <v>0</v>
      </c>
      <c r="J23" s="5">
        <f>Hourly_Helper!AC8</f>
        <v>1</v>
      </c>
      <c r="K23" s="5">
        <f>Hourly_Helper!AD8</f>
        <v>4</v>
      </c>
      <c r="L23" s="5">
        <f>Hourly_Helper!AE8</f>
        <v>3</v>
      </c>
    </row>
    <row r="24" spans="1:12" x14ac:dyDescent="0.25">
      <c r="A24" s="9" t="str">
        <f>'Zone Performance'!A11</f>
        <v>BTM Layout</v>
      </c>
      <c r="B24" s="9">
        <f>'Zone Performance'!B11</f>
        <v>9</v>
      </c>
      <c r="C24" s="10">
        <f>'Zone Performance'!C11</f>
        <v>3148</v>
      </c>
      <c r="D24" s="11">
        <f>'Zone Performance'!D11</f>
        <v>12.999999999999936</v>
      </c>
      <c r="E24" s="12">
        <f>'Zone Performance'!H11</f>
        <v>0</v>
      </c>
      <c r="G24" s="9" t="str">
        <f>Hourly_Helper!A9</f>
        <v>Swish Kitchen - BTM Layout</v>
      </c>
      <c r="H24" s="9">
        <f>Hourly_Helper!AA9</f>
        <v>0</v>
      </c>
      <c r="I24" s="9">
        <f>Hourly_Helper!AB9</f>
        <v>0</v>
      </c>
      <c r="J24" s="9">
        <f>Hourly_Helper!AC9</f>
        <v>3</v>
      </c>
      <c r="K24" s="9">
        <f>Hourly_Helper!AD9</f>
        <v>1</v>
      </c>
      <c r="L24" s="9">
        <f>Hourly_Helper!AE9</f>
        <v>2</v>
      </c>
    </row>
    <row r="25" spans="1:12" x14ac:dyDescent="0.25">
      <c r="A25" s="5" t="str">
        <f>'Zone Performance'!A12</f>
        <v>Bellandur</v>
      </c>
      <c r="B25" s="5">
        <f>'Zone Performance'!B12</f>
        <v>9</v>
      </c>
      <c r="C25" s="6">
        <f>'Zone Performance'!C12</f>
        <v>3542</v>
      </c>
      <c r="D25" s="7">
        <f>'Zone Performance'!D12</f>
        <v>11.124999999999741</v>
      </c>
      <c r="E25" s="8">
        <f>'Zone Performance'!H12</f>
        <v>0</v>
      </c>
      <c r="G25" s="5" t="str">
        <f>Hourly_Helper!A10</f>
        <v>Swish Kitchen - Bellandur</v>
      </c>
      <c r="H25" s="5">
        <f>Hourly_Helper!AA10</f>
        <v>0</v>
      </c>
      <c r="I25" s="5">
        <f>Hourly_Helper!AB10</f>
        <v>0</v>
      </c>
      <c r="J25" s="5">
        <f>Hourly_Helper!AC10</f>
        <v>2</v>
      </c>
      <c r="K25" s="5">
        <f>Hourly_Helper!AD10</f>
        <v>1</v>
      </c>
      <c r="L25" s="5">
        <f>Hourly_Helper!AE10</f>
        <v>5</v>
      </c>
    </row>
    <row r="26" spans="1:12" x14ac:dyDescent="0.25">
      <c r="A26" s="9" t="str">
        <f>'Zone Performance'!A13</f>
        <v>Sarjapur</v>
      </c>
      <c r="B26" s="9">
        <f>'Zone Performance'!B13</f>
        <v>9</v>
      </c>
      <c r="C26" s="10">
        <f>'Zone Performance'!C13</f>
        <v>2647</v>
      </c>
      <c r="D26" s="11">
        <f>'Zone Performance'!D13</f>
        <v>11.714285714285593</v>
      </c>
      <c r="E26" s="12">
        <f>'Zone Performance'!H13</f>
        <v>0.1111111111111111</v>
      </c>
      <c r="G26" s="9" t="str">
        <f>Hourly_Helper!A11</f>
        <v>Swish Kitchen - Sarjapur</v>
      </c>
      <c r="H26" s="9">
        <f>Hourly_Helper!AA11</f>
        <v>0</v>
      </c>
      <c r="I26" s="9">
        <f>Hourly_Helper!AB11</f>
        <v>0</v>
      </c>
      <c r="J26" s="9">
        <f>Hourly_Helper!AC11</f>
        <v>2</v>
      </c>
      <c r="K26" s="9">
        <f>Hourly_Helper!AD11</f>
        <v>2</v>
      </c>
      <c r="L26" s="9">
        <f>Hourly_Helper!AE11</f>
        <v>3</v>
      </c>
    </row>
    <row r="28" spans="1:12" ht="15.75" x14ac:dyDescent="0.25">
      <c r="A28" s="30" t="s">
        <v>28</v>
      </c>
      <c r="B28" s="30"/>
      <c r="C28" s="30"/>
      <c r="D28" s="30"/>
      <c r="E28" s="30"/>
      <c r="F28" s="30"/>
      <c r="G28" s="31" t="s">
        <v>29</v>
      </c>
      <c r="H28" s="31"/>
      <c r="I28" s="31"/>
      <c r="J28" s="31"/>
      <c r="K28" s="31"/>
      <c r="L28" s="31"/>
    </row>
  </sheetData>
  <mergeCells count="30">
    <mergeCell ref="A1:L1"/>
    <mergeCell ref="A2:L2"/>
    <mergeCell ref="A5:B7"/>
    <mergeCell ref="C5:D7"/>
    <mergeCell ref="E5:F7"/>
    <mergeCell ref="G5:H7"/>
    <mergeCell ref="I5:J7"/>
    <mergeCell ref="K5:L7"/>
    <mergeCell ref="K8:L8"/>
    <mergeCell ref="A10:B12"/>
    <mergeCell ref="C10:D12"/>
    <mergeCell ref="E10:F12"/>
    <mergeCell ref="G10:H12"/>
    <mergeCell ref="I10:J12"/>
    <mergeCell ref="K10:L12"/>
    <mergeCell ref="A8:B8"/>
    <mergeCell ref="C8:D8"/>
    <mergeCell ref="E8:F8"/>
    <mergeCell ref="G8:H8"/>
    <mergeCell ref="I8:J8"/>
    <mergeCell ref="K13:L13"/>
    <mergeCell ref="A15:F15"/>
    <mergeCell ref="G15:L15"/>
    <mergeCell ref="A28:F28"/>
    <mergeCell ref="G28:L28"/>
    <mergeCell ref="A13:B13"/>
    <mergeCell ref="C13:D13"/>
    <mergeCell ref="E13:F13"/>
    <mergeCell ref="G13:H13"/>
    <mergeCell ref="I13:J13"/>
  </mergeCells>
  <conditionalFormatting sqref="C17:C26">
    <cfRule type="dataBar" priority="2">
      <dataBar>
        <cfvo type="min"/>
        <cfvo type="max"/>
        <color rgb="FFFF6600"/>
      </dataBar>
      <extLst>
        <ext xmlns:x14="http://schemas.microsoft.com/office/spreadsheetml/2009/9/main" uri="{B025F937-C7B1-47D3-B67F-A62EFF666E3E}">
          <x14:id>{96A927D7-5975-4D90-9959-10FD64EE388A}</x14:id>
        </ext>
      </extLst>
    </cfRule>
  </conditionalFormatting>
  <conditionalFormatting sqref="E17:E2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:L26">
    <cfRule type="colorScale" priority="4">
      <colorScale>
        <cfvo type="min"/>
        <cfvo type="percentile" val="50"/>
        <cfvo type="max"/>
        <color rgb="FFFFFFFF"/>
        <color rgb="FFFFD08A"/>
        <color rgb="FFE74C3C"/>
      </colorScale>
    </cfRule>
  </conditionalFormatting>
  <printOptions horizontalCentered="1"/>
  <pageMargins left="0.75" right="0.75" top="1" bottom="1" header="0.511811023622047" footer="0.511811023622047"/>
  <pageSetup paperSize="9" fitToHeight="0" orientation="landscape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A927D7-5975-4D90-9959-10FD64EE388A}">
            <x14:dataBar axisPosition="none">
              <x14:cfvo type="min"/>
              <x14:cfvo type="max"/>
              <x14:negativeFillColor rgb="FFFF6600"/>
            </x14:dataBar>
          </x14:cfRule>
          <xm:sqref>C17:C26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6600"/>
    <pageSetUpPr fitToPage="1"/>
  </sheetPr>
  <dimension ref="A1:S93"/>
  <sheetViews>
    <sheetView showGridLines="0" topLeftCell="E1" zoomScaleNormal="100" workbookViewId="0">
      <pane ySplit="3" topLeftCell="A4" activePane="bottomLeft" state="frozen"/>
      <selection pane="bottomLeft" sqref="A1:S1"/>
    </sheetView>
  </sheetViews>
  <sheetFormatPr defaultColWidth="8.7109375" defaultRowHeight="15" x14ac:dyDescent="0.25"/>
  <cols>
    <col min="1" max="1" width="11.42578125" bestFit="1" customWidth="1"/>
    <col min="2" max="2" width="10" customWidth="1"/>
    <col min="3" max="3" width="16" customWidth="1"/>
    <col min="4" max="4" width="12" customWidth="1"/>
    <col min="5" max="5" width="14" customWidth="1"/>
    <col min="6" max="6" width="27.28515625" bestFit="1" customWidth="1"/>
    <col min="7" max="7" width="12" customWidth="1"/>
    <col min="8" max="8" width="10" customWidth="1"/>
    <col min="9" max="10" width="12" customWidth="1"/>
    <col min="11" max="12" width="10" customWidth="1"/>
    <col min="13" max="13" width="18.28515625" bestFit="1" customWidth="1"/>
    <col min="14" max="14" width="11" customWidth="1"/>
    <col min="15" max="15" width="20" customWidth="1"/>
    <col min="16" max="16" width="11" customWidth="1"/>
    <col min="17" max="17" width="17.42578125" bestFit="1" customWidth="1"/>
    <col min="18" max="18" width="15.28515625" bestFit="1" customWidth="1"/>
    <col min="19" max="19" width="15" bestFit="1" customWidth="1"/>
  </cols>
  <sheetData>
    <row r="1" spans="1:19" ht="33.75" customHeight="1" x14ac:dyDescent="0.25">
      <c r="A1" s="27" t="s">
        <v>30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18" customHeight="1" x14ac:dyDescent="0.25">
      <c r="A2" s="28" t="s">
        <v>31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</row>
    <row r="3" spans="1:19" ht="27.75" customHeight="1" x14ac:dyDescent="0.25">
      <c r="A3" s="13" t="s">
        <v>32</v>
      </c>
      <c r="B3" s="13" t="s">
        <v>33</v>
      </c>
      <c r="C3" s="13" t="s">
        <v>34</v>
      </c>
      <c r="D3" s="13" t="s">
        <v>35</v>
      </c>
      <c r="E3" s="13" t="s">
        <v>17</v>
      </c>
      <c r="F3" s="13" t="s">
        <v>22</v>
      </c>
      <c r="G3" s="13" t="s">
        <v>36</v>
      </c>
      <c r="H3" s="13" t="s">
        <v>37</v>
      </c>
      <c r="I3" s="13" t="s">
        <v>38</v>
      </c>
      <c r="J3" s="13" t="s">
        <v>39</v>
      </c>
      <c r="K3" s="13" t="s">
        <v>40</v>
      </c>
      <c r="L3" s="13" t="s">
        <v>41</v>
      </c>
      <c r="M3" s="13" t="s">
        <v>42</v>
      </c>
      <c r="N3" s="13" t="s">
        <v>43</v>
      </c>
      <c r="O3" s="13" t="s">
        <v>44</v>
      </c>
      <c r="P3" s="13" t="s">
        <v>45</v>
      </c>
      <c r="Q3" s="14" t="s">
        <v>46</v>
      </c>
      <c r="R3" s="14" t="s">
        <v>47</v>
      </c>
      <c r="S3" s="14" t="s">
        <v>48</v>
      </c>
    </row>
    <row r="4" spans="1:19" x14ac:dyDescent="0.25">
      <c r="A4" s="15">
        <v>46280</v>
      </c>
      <c r="B4" s="9" t="s">
        <v>49</v>
      </c>
      <c r="C4" s="9" t="s">
        <v>50</v>
      </c>
      <c r="D4" s="9" t="s">
        <v>51</v>
      </c>
      <c r="E4" s="9" t="s">
        <v>52</v>
      </c>
      <c r="F4" s="9" t="s">
        <v>53</v>
      </c>
      <c r="G4" s="9" t="s">
        <v>54</v>
      </c>
      <c r="H4" s="16">
        <v>0.72708333333333297</v>
      </c>
      <c r="I4" s="16">
        <v>0.72708333333333297</v>
      </c>
      <c r="J4" s="16">
        <v>0.72916666666666696</v>
      </c>
      <c r="K4" s="16">
        <v>0.72916666666666696</v>
      </c>
      <c r="L4" s="16">
        <v>0.73124999999999996</v>
      </c>
      <c r="M4" s="11">
        <f t="shared" ref="M4:M35" si="0">IF(N4="Delivered",IFERROR((L4-H4)*1440,""),"")</f>
        <v>6.0000000000004583</v>
      </c>
      <c r="N4" s="9" t="s">
        <v>55</v>
      </c>
      <c r="O4" s="9"/>
      <c r="P4" s="10">
        <v>358</v>
      </c>
      <c r="Q4" s="17">
        <f t="shared" ref="Q4:Q35" si="1">IF(AND(I4&lt;&gt;"",J4&lt;&gt;""),(J4-I4)*1440,"")</f>
        <v>3.0000000000009486</v>
      </c>
      <c r="R4" s="18">
        <f t="shared" ref="R4:R35" si="2">IF(H4&lt;&gt;"",HOUR(H4),"")</f>
        <v>17</v>
      </c>
      <c r="S4" s="18" t="str">
        <f t="shared" ref="S4:S35" si="3">IF(AND(N4="Delivered",M4&lt;&gt;"",M4&gt;10),"Y","N")</f>
        <v>N</v>
      </c>
    </row>
    <row r="5" spans="1:19" x14ac:dyDescent="0.25">
      <c r="A5" s="19">
        <v>46280</v>
      </c>
      <c r="B5" s="5" t="s">
        <v>56</v>
      </c>
      <c r="C5" s="5" t="s">
        <v>57</v>
      </c>
      <c r="D5" s="5" t="s">
        <v>58</v>
      </c>
      <c r="E5" s="5" t="s">
        <v>59</v>
      </c>
      <c r="F5" s="5" t="s">
        <v>60</v>
      </c>
      <c r="G5" s="5" t="s">
        <v>61</v>
      </c>
      <c r="H5" s="20">
        <v>0.86875000000000002</v>
      </c>
      <c r="I5" s="20">
        <v>0.86875000000000002</v>
      </c>
      <c r="J5" s="20">
        <v>0.874305555555556</v>
      </c>
      <c r="K5" s="20">
        <v>0.875</v>
      </c>
      <c r="L5" s="20">
        <v>0.87777777777777799</v>
      </c>
      <c r="M5" s="7">
        <f t="shared" si="0"/>
        <v>13.000000000000274</v>
      </c>
      <c r="N5" s="5" t="s">
        <v>55</v>
      </c>
      <c r="O5" s="5" t="s">
        <v>62</v>
      </c>
      <c r="P5" s="6">
        <v>404</v>
      </c>
      <c r="Q5" s="21">
        <f t="shared" si="1"/>
        <v>8.0000000000006111</v>
      </c>
      <c r="R5" s="22">
        <f t="shared" si="2"/>
        <v>20</v>
      </c>
      <c r="S5" s="22" t="str">
        <f t="shared" si="3"/>
        <v>Y</v>
      </c>
    </row>
    <row r="6" spans="1:19" x14ac:dyDescent="0.25">
      <c r="A6" s="15">
        <v>46280</v>
      </c>
      <c r="B6" s="9" t="s">
        <v>63</v>
      </c>
      <c r="C6" s="9" t="s">
        <v>64</v>
      </c>
      <c r="D6" s="9" t="s">
        <v>65</v>
      </c>
      <c r="E6" s="9" t="s">
        <v>66</v>
      </c>
      <c r="F6" s="9" t="s">
        <v>67</v>
      </c>
      <c r="G6" s="9" t="s">
        <v>68</v>
      </c>
      <c r="H6" s="16">
        <v>0.811805555555556</v>
      </c>
      <c r="I6" s="16">
        <v>0.811805555555556</v>
      </c>
      <c r="J6" s="16">
        <v>0.81597222222222199</v>
      </c>
      <c r="K6" s="16">
        <v>0.81597222222222199</v>
      </c>
      <c r="L6" s="16">
        <v>0.82013888888888897</v>
      </c>
      <c r="M6" s="11">
        <f t="shared" si="0"/>
        <v>11.999999999999478</v>
      </c>
      <c r="N6" s="9" t="s">
        <v>55</v>
      </c>
      <c r="O6" s="9" t="s">
        <v>69</v>
      </c>
      <c r="P6" s="10">
        <v>420</v>
      </c>
      <c r="Q6" s="17">
        <f t="shared" si="1"/>
        <v>5.9999999999990195</v>
      </c>
      <c r="R6" s="18">
        <f t="shared" si="2"/>
        <v>19</v>
      </c>
      <c r="S6" s="18" t="str">
        <f t="shared" si="3"/>
        <v>Y</v>
      </c>
    </row>
    <row r="7" spans="1:19" x14ac:dyDescent="0.25">
      <c r="A7" s="19">
        <v>46280</v>
      </c>
      <c r="B7" s="5" t="s">
        <v>70</v>
      </c>
      <c r="C7" s="5" t="s">
        <v>71</v>
      </c>
      <c r="D7" s="5" t="s">
        <v>72</v>
      </c>
      <c r="E7" s="5" t="s">
        <v>73</v>
      </c>
      <c r="F7" s="5" t="s">
        <v>74</v>
      </c>
      <c r="G7" s="5" t="s">
        <v>75</v>
      </c>
      <c r="H7" s="20">
        <v>0.87916666666666698</v>
      </c>
      <c r="I7" s="20">
        <v>0.87986111111111098</v>
      </c>
      <c r="J7" s="20">
        <v>0.88333333333333297</v>
      </c>
      <c r="K7" s="20">
        <v>0.88402777777777797</v>
      </c>
      <c r="L7" s="20">
        <v>0.88888888888888895</v>
      </c>
      <c r="M7" s="7">
        <f t="shared" si="0"/>
        <v>13.999999999999631</v>
      </c>
      <c r="N7" s="5" t="s">
        <v>55</v>
      </c>
      <c r="O7" s="5" t="s">
        <v>76</v>
      </c>
      <c r="P7" s="6">
        <v>493</v>
      </c>
      <c r="Q7" s="21">
        <f t="shared" si="1"/>
        <v>4.9999999999996625</v>
      </c>
      <c r="R7" s="22">
        <f t="shared" si="2"/>
        <v>21</v>
      </c>
      <c r="S7" s="22" t="str">
        <f t="shared" si="3"/>
        <v>Y</v>
      </c>
    </row>
    <row r="8" spans="1:19" x14ac:dyDescent="0.25">
      <c r="A8" s="15">
        <v>46280</v>
      </c>
      <c r="B8" s="9" t="s">
        <v>77</v>
      </c>
      <c r="C8" s="9" t="s">
        <v>78</v>
      </c>
      <c r="D8" s="9" t="s">
        <v>79</v>
      </c>
      <c r="E8" s="9" t="s">
        <v>80</v>
      </c>
      <c r="F8" s="9" t="s">
        <v>81</v>
      </c>
      <c r="G8" s="9" t="s">
        <v>82</v>
      </c>
      <c r="H8" s="16">
        <v>0.54097222222222197</v>
      </c>
      <c r="I8" s="16">
        <v>0.54097222222222197</v>
      </c>
      <c r="J8" s="16">
        <v>0.54652777777777795</v>
      </c>
      <c r="K8" s="16">
        <v>0.54722222222222205</v>
      </c>
      <c r="L8" s="16">
        <v>0.54861111111111105</v>
      </c>
      <c r="M8" s="11">
        <f t="shared" si="0"/>
        <v>11.000000000000281</v>
      </c>
      <c r="N8" s="9" t="s">
        <v>55</v>
      </c>
      <c r="O8" s="9" t="s">
        <v>62</v>
      </c>
      <c r="P8" s="10">
        <v>354</v>
      </c>
      <c r="Q8" s="17">
        <f t="shared" si="1"/>
        <v>8.0000000000006111</v>
      </c>
      <c r="R8" s="18">
        <f t="shared" si="2"/>
        <v>12</v>
      </c>
      <c r="S8" s="18" t="str">
        <f t="shared" si="3"/>
        <v>Y</v>
      </c>
    </row>
    <row r="9" spans="1:19" x14ac:dyDescent="0.25">
      <c r="A9" s="19">
        <v>46280</v>
      </c>
      <c r="B9" s="5" t="s">
        <v>83</v>
      </c>
      <c r="C9" s="5" t="s">
        <v>64</v>
      </c>
      <c r="D9" s="5" t="s">
        <v>84</v>
      </c>
      <c r="E9" s="5" t="s">
        <v>85</v>
      </c>
      <c r="F9" s="5" t="s">
        <v>86</v>
      </c>
      <c r="G9" s="5" t="s">
        <v>87</v>
      </c>
      <c r="H9" s="20">
        <v>0.77013888888888904</v>
      </c>
      <c r="I9" s="20">
        <v>0.77013888888888904</v>
      </c>
      <c r="J9" s="20">
        <v>0.77361111111111103</v>
      </c>
      <c r="K9" s="20">
        <v>0.77361111111111103</v>
      </c>
      <c r="L9" s="20">
        <v>0.77569444444444502</v>
      </c>
      <c r="M9" s="7">
        <f t="shared" si="0"/>
        <v>8.0000000000006111</v>
      </c>
      <c r="N9" s="5" t="s">
        <v>55</v>
      </c>
      <c r="O9" s="5"/>
      <c r="P9" s="6">
        <v>389</v>
      </c>
      <c r="Q9" s="21">
        <f t="shared" si="1"/>
        <v>4.9999999999996625</v>
      </c>
      <c r="R9" s="22">
        <f t="shared" si="2"/>
        <v>18</v>
      </c>
      <c r="S9" s="22" t="str">
        <f t="shared" si="3"/>
        <v>N</v>
      </c>
    </row>
    <row r="10" spans="1:19" x14ac:dyDescent="0.25">
      <c r="A10" s="15">
        <v>46280</v>
      </c>
      <c r="B10" s="9" t="s">
        <v>88</v>
      </c>
      <c r="C10" s="9" t="s">
        <v>89</v>
      </c>
      <c r="D10" s="9" t="s">
        <v>90</v>
      </c>
      <c r="E10" s="9" t="s">
        <v>91</v>
      </c>
      <c r="F10" s="9" t="s">
        <v>92</v>
      </c>
      <c r="G10" s="9" t="s">
        <v>93</v>
      </c>
      <c r="H10" s="16">
        <v>0.87986111111111098</v>
      </c>
      <c r="I10" s="16">
        <v>0.87986111111111098</v>
      </c>
      <c r="J10" s="16">
        <v>0.88541666666666696</v>
      </c>
      <c r="K10" s="16">
        <v>0.88541666666666696</v>
      </c>
      <c r="L10" s="16">
        <v>0.89027777777777795</v>
      </c>
      <c r="M10" s="11">
        <f t="shared" si="0"/>
        <v>15.000000000000426</v>
      </c>
      <c r="N10" s="9" t="s">
        <v>55</v>
      </c>
      <c r="O10" s="9" t="s">
        <v>94</v>
      </c>
      <c r="P10" s="10">
        <v>552</v>
      </c>
      <c r="Q10" s="17">
        <f t="shared" si="1"/>
        <v>8.0000000000006111</v>
      </c>
      <c r="R10" s="18">
        <f t="shared" si="2"/>
        <v>21</v>
      </c>
      <c r="S10" s="18" t="str">
        <f t="shared" si="3"/>
        <v>Y</v>
      </c>
    </row>
    <row r="11" spans="1:19" x14ac:dyDescent="0.25">
      <c r="A11" s="19">
        <v>46280</v>
      </c>
      <c r="B11" s="5" t="s">
        <v>95</v>
      </c>
      <c r="C11" s="5" t="s">
        <v>96</v>
      </c>
      <c r="D11" s="5" t="s">
        <v>97</v>
      </c>
      <c r="E11" s="5" t="s">
        <v>98</v>
      </c>
      <c r="F11" s="5" t="s">
        <v>99</v>
      </c>
      <c r="G11" s="5" t="s">
        <v>100</v>
      </c>
      <c r="H11" s="20">
        <v>0.86180555555555605</v>
      </c>
      <c r="I11" s="20">
        <v>0.86250000000000004</v>
      </c>
      <c r="J11" s="20">
        <v>0.86458333333333304</v>
      </c>
      <c r="K11" s="20">
        <v>0.86527777777777803</v>
      </c>
      <c r="L11" s="20">
        <v>0.86875000000000002</v>
      </c>
      <c r="M11" s="7">
        <f t="shared" si="0"/>
        <v>9.999999999999325</v>
      </c>
      <c r="N11" s="5" t="s">
        <v>55</v>
      </c>
      <c r="O11" s="5"/>
      <c r="P11" s="6">
        <v>281</v>
      </c>
      <c r="Q11" s="21">
        <f t="shared" si="1"/>
        <v>2.9999999999995097</v>
      </c>
      <c r="R11" s="22">
        <f t="shared" si="2"/>
        <v>20</v>
      </c>
      <c r="S11" s="22" t="str">
        <f t="shared" si="3"/>
        <v>N</v>
      </c>
    </row>
    <row r="12" spans="1:19" x14ac:dyDescent="0.25">
      <c r="A12" s="15">
        <v>46280</v>
      </c>
      <c r="B12" s="9" t="s">
        <v>101</v>
      </c>
      <c r="C12" s="9" t="s">
        <v>102</v>
      </c>
      <c r="D12" s="9" t="s">
        <v>103</v>
      </c>
      <c r="E12" s="9" t="s">
        <v>104</v>
      </c>
      <c r="F12" s="9" t="s">
        <v>105</v>
      </c>
      <c r="G12" s="9" t="s">
        <v>106</v>
      </c>
      <c r="H12" s="16">
        <v>0.43263888888888902</v>
      </c>
      <c r="I12" s="16">
        <v>0.43263888888888902</v>
      </c>
      <c r="J12" s="16">
        <v>0.4375</v>
      </c>
      <c r="K12" s="16">
        <v>0.43888888888888899</v>
      </c>
      <c r="L12" s="16">
        <v>0.44027777777777799</v>
      </c>
      <c r="M12" s="11">
        <f t="shared" si="0"/>
        <v>11.000000000000121</v>
      </c>
      <c r="N12" s="9" t="s">
        <v>55</v>
      </c>
      <c r="O12" s="9" t="s">
        <v>107</v>
      </c>
      <c r="P12" s="10">
        <v>451</v>
      </c>
      <c r="Q12" s="17">
        <f t="shared" si="1"/>
        <v>6.9999999999998153</v>
      </c>
      <c r="R12" s="18">
        <f t="shared" si="2"/>
        <v>10</v>
      </c>
      <c r="S12" s="18" t="str">
        <f t="shared" si="3"/>
        <v>Y</v>
      </c>
    </row>
    <row r="13" spans="1:19" x14ac:dyDescent="0.25">
      <c r="A13" s="19">
        <v>46280</v>
      </c>
      <c r="B13" s="5" t="s">
        <v>108</v>
      </c>
      <c r="C13" s="5" t="s">
        <v>109</v>
      </c>
      <c r="D13" s="5" t="s">
        <v>110</v>
      </c>
      <c r="E13" s="5" t="s">
        <v>111</v>
      </c>
      <c r="F13" s="5" t="s">
        <v>112</v>
      </c>
      <c r="G13" s="5" t="s">
        <v>113</v>
      </c>
      <c r="H13" s="20">
        <v>0.87777777777777799</v>
      </c>
      <c r="I13" s="20">
        <v>0.87777777777777799</v>
      </c>
      <c r="J13" s="20">
        <v>0.88055555555555598</v>
      </c>
      <c r="K13" s="20">
        <v>0.88194444444444398</v>
      </c>
      <c r="L13" s="20">
        <v>0.88541666666666696</v>
      </c>
      <c r="M13" s="7">
        <f t="shared" si="0"/>
        <v>11.000000000000121</v>
      </c>
      <c r="N13" s="5" t="s">
        <v>55</v>
      </c>
      <c r="O13" s="5" t="s">
        <v>62</v>
      </c>
      <c r="P13" s="6">
        <v>289</v>
      </c>
      <c r="Q13" s="21">
        <f t="shared" si="1"/>
        <v>4.0000000000003055</v>
      </c>
      <c r="R13" s="22">
        <f t="shared" si="2"/>
        <v>21</v>
      </c>
      <c r="S13" s="22" t="str">
        <f t="shared" si="3"/>
        <v>Y</v>
      </c>
    </row>
    <row r="14" spans="1:19" x14ac:dyDescent="0.25">
      <c r="A14" s="15">
        <v>46280</v>
      </c>
      <c r="B14" s="9" t="s">
        <v>114</v>
      </c>
      <c r="C14" s="9" t="s">
        <v>115</v>
      </c>
      <c r="D14" s="9" t="s">
        <v>116</v>
      </c>
      <c r="E14" s="9" t="s">
        <v>52</v>
      </c>
      <c r="F14" s="9" t="s">
        <v>53</v>
      </c>
      <c r="G14" s="9" t="s">
        <v>54</v>
      </c>
      <c r="H14" s="16">
        <v>0.62986111111111098</v>
      </c>
      <c r="I14" s="16">
        <v>0.62986111111111098</v>
      </c>
      <c r="J14" s="16">
        <v>0.63263888888888897</v>
      </c>
      <c r="K14" s="16">
        <v>0.63263888888888897</v>
      </c>
      <c r="L14" s="16">
        <v>0.63541666666666696</v>
      </c>
      <c r="M14" s="11">
        <f t="shared" si="0"/>
        <v>8.0000000000006111</v>
      </c>
      <c r="N14" s="9" t="s">
        <v>55</v>
      </c>
      <c r="O14" s="9"/>
      <c r="P14" s="10">
        <v>141</v>
      </c>
      <c r="Q14" s="17">
        <f t="shared" si="1"/>
        <v>4.0000000000003055</v>
      </c>
      <c r="R14" s="18">
        <f t="shared" si="2"/>
        <v>15</v>
      </c>
      <c r="S14" s="18" t="str">
        <f t="shared" si="3"/>
        <v>N</v>
      </c>
    </row>
    <row r="15" spans="1:19" x14ac:dyDescent="0.25">
      <c r="A15" s="19">
        <v>46280</v>
      </c>
      <c r="B15" s="5" t="s">
        <v>117</v>
      </c>
      <c r="C15" s="5" t="s">
        <v>118</v>
      </c>
      <c r="D15" s="5" t="s">
        <v>119</v>
      </c>
      <c r="E15" s="5" t="s">
        <v>59</v>
      </c>
      <c r="F15" s="5" t="s">
        <v>60</v>
      </c>
      <c r="G15" s="5" t="s">
        <v>61</v>
      </c>
      <c r="H15" s="20">
        <v>0.39722222222222198</v>
      </c>
      <c r="I15" s="20">
        <v>0.39722222222222198</v>
      </c>
      <c r="J15" s="20">
        <v>0.40069444444444502</v>
      </c>
      <c r="K15" s="20">
        <v>0.40208333333333302</v>
      </c>
      <c r="L15" s="20">
        <v>0.405555555555556</v>
      </c>
      <c r="M15" s="7">
        <f t="shared" si="0"/>
        <v>12.000000000000997</v>
      </c>
      <c r="N15" s="5" t="s">
        <v>55</v>
      </c>
      <c r="O15" s="5" t="s">
        <v>120</v>
      </c>
      <c r="P15" s="6">
        <v>339</v>
      </c>
      <c r="Q15" s="21">
        <f t="shared" si="1"/>
        <v>5.0000000000011813</v>
      </c>
      <c r="R15" s="22">
        <f t="shared" si="2"/>
        <v>9</v>
      </c>
      <c r="S15" s="22" t="str">
        <f t="shared" si="3"/>
        <v>Y</v>
      </c>
    </row>
    <row r="16" spans="1:19" x14ac:dyDescent="0.25">
      <c r="A16" s="15">
        <v>46280</v>
      </c>
      <c r="B16" s="9" t="s">
        <v>121</v>
      </c>
      <c r="C16" s="9" t="s">
        <v>109</v>
      </c>
      <c r="D16" s="9" t="s">
        <v>122</v>
      </c>
      <c r="E16" s="9" t="s">
        <v>66</v>
      </c>
      <c r="F16" s="9" t="s">
        <v>67</v>
      </c>
      <c r="G16" s="9" t="s">
        <v>68</v>
      </c>
      <c r="H16" s="16">
        <v>0.76875000000000004</v>
      </c>
      <c r="I16" s="16">
        <v>0.76944444444444504</v>
      </c>
      <c r="J16" s="16">
        <v>0.77361111111111103</v>
      </c>
      <c r="K16" s="16">
        <v>0.77430555555555602</v>
      </c>
      <c r="L16" s="16">
        <v>0.77777777777777801</v>
      </c>
      <c r="M16" s="11">
        <f t="shared" si="0"/>
        <v>13.000000000000274</v>
      </c>
      <c r="N16" s="9" t="s">
        <v>55</v>
      </c>
      <c r="O16" s="9" t="s">
        <v>120</v>
      </c>
      <c r="P16" s="10">
        <v>175</v>
      </c>
      <c r="Q16" s="17">
        <f t="shared" si="1"/>
        <v>5.9999999999990195</v>
      </c>
      <c r="R16" s="18">
        <f t="shared" si="2"/>
        <v>18</v>
      </c>
      <c r="S16" s="18" t="str">
        <f t="shared" si="3"/>
        <v>Y</v>
      </c>
    </row>
    <row r="17" spans="1:19" x14ac:dyDescent="0.25">
      <c r="A17" s="19">
        <v>46280</v>
      </c>
      <c r="B17" s="5" t="s">
        <v>123</v>
      </c>
      <c r="C17" s="5" t="s">
        <v>124</v>
      </c>
      <c r="D17" s="5" t="s">
        <v>125</v>
      </c>
      <c r="E17" s="5" t="s">
        <v>73</v>
      </c>
      <c r="F17" s="5" t="s">
        <v>74</v>
      </c>
      <c r="G17" s="5" t="s">
        <v>75</v>
      </c>
      <c r="H17" s="20">
        <v>0.43541666666666701</v>
      </c>
      <c r="I17" s="20">
        <v>0.43541666666666701</v>
      </c>
      <c r="J17" s="20">
        <v>0.43888888888888899</v>
      </c>
      <c r="K17" s="20">
        <v>0.43958333333333299</v>
      </c>
      <c r="L17" s="20">
        <v>0.44166666666666698</v>
      </c>
      <c r="M17" s="7">
        <f t="shared" si="0"/>
        <v>8.999999999999968</v>
      </c>
      <c r="N17" s="5" t="s">
        <v>55</v>
      </c>
      <c r="O17" s="5"/>
      <c r="P17" s="6">
        <v>197</v>
      </c>
      <c r="Q17" s="21">
        <f t="shared" si="1"/>
        <v>4.9999999999996625</v>
      </c>
      <c r="R17" s="22">
        <f t="shared" si="2"/>
        <v>10</v>
      </c>
      <c r="S17" s="22" t="str">
        <f t="shared" si="3"/>
        <v>N</v>
      </c>
    </row>
    <row r="18" spans="1:19" x14ac:dyDescent="0.25">
      <c r="A18" s="15">
        <v>46280</v>
      </c>
      <c r="B18" s="9" t="s">
        <v>126</v>
      </c>
      <c r="C18" s="9" t="s">
        <v>127</v>
      </c>
      <c r="D18" s="9" t="s">
        <v>128</v>
      </c>
      <c r="E18" s="9" t="s">
        <v>80</v>
      </c>
      <c r="F18" s="9" t="s">
        <v>81</v>
      </c>
      <c r="G18" s="9" t="s">
        <v>82</v>
      </c>
      <c r="H18" s="16">
        <v>0.64583333333333304</v>
      </c>
      <c r="I18" s="16">
        <v>0.64583333333333304</v>
      </c>
      <c r="J18" s="16">
        <v>0.65208333333333302</v>
      </c>
      <c r="K18" s="16">
        <v>0.65277777777777801</v>
      </c>
      <c r="L18" s="16">
        <v>0.65416666666666701</v>
      </c>
      <c r="M18" s="11">
        <f t="shared" si="0"/>
        <v>12.000000000000917</v>
      </c>
      <c r="N18" s="9" t="s">
        <v>55</v>
      </c>
      <c r="O18" s="9" t="s">
        <v>94</v>
      </c>
      <c r="P18" s="10">
        <v>288</v>
      </c>
      <c r="Q18" s="17">
        <f t="shared" si="1"/>
        <v>8.999999999999968</v>
      </c>
      <c r="R18" s="18">
        <f t="shared" si="2"/>
        <v>15</v>
      </c>
      <c r="S18" s="18" t="str">
        <f t="shared" si="3"/>
        <v>Y</v>
      </c>
    </row>
    <row r="19" spans="1:19" x14ac:dyDescent="0.25">
      <c r="A19" s="19">
        <v>46280</v>
      </c>
      <c r="B19" s="5" t="s">
        <v>129</v>
      </c>
      <c r="C19" s="5" t="s">
        <v>130</v>
      </c>
      <c r="D19" s="5" t="s">
        <v>131</v>
      </c>
      <c r="E19" s="5" t="s">
        <v>85</v>
      </c>
      <c r="F19" s="5" t="s">
        <v>86</v>
      </c>
      <c r="G19" s="5" t="s">
        <v>87</v>
      </c>
      <c r="H19" s="20">
        <v>0.359027777777778</v>
      </c>
      <c r="I19" s="20">
        <v>0.359027777777778</v>
      </c>
      <c r="J19" s="20">
        <v>0.36458333333333298</v>
      </c>
      <c r="K19" s="20">
        <v>0.36527777777777798</v>
      </c>
      <c r="L19" s="20">
        <v>0.36666666666666697</v>
      </c>
      <c r="M19" s="7">
        <f t="shared" si="0"/>
        <v>11.000000000000121</v>
      </c>
      <c r="N19" s="5" t="s">
        <v>55</v>
      </c>
      <c r="O19" s="5" t="s">
        <v>69</v>
      </c>
      <c r="P19" s="6">
        <v>171</v>
      </c>
      <c r="Q19" s="21">
        <f t="shared" si="1"/>
        <v>7.9999999999991722</v>
      </c>
      <c r="R19" s="22">
        <f t="shared" si="2"/>
        <v>8</v>
      </c>
      <c r="S19" s="22" t="str">
        <f t="shared" si="3"/>
        <v>Y</v>
      </c>
    </row>
    <row r="20" spans="1:19" x14ac:dyDescent="0.25">
      <c r="A20" s="15">
        <v>46280</v>
      </c>
      <c r="B20" s="9" t="s">
        <v>132</v>
      </c>
      <c r="C20" s="9" t="s">
        <v>109</v>
      </c>
      <c r="D20" s="9" t="s">
        <v>133</v>
      </c>
      <c r="E20" s="9" t="s">
        <v>91</v>
      </c>
      <c r="F20" s="9" t="s">
        <v>92</v>
      </c>
      <c r="G20" s="9" t="s">
        <v>93</v>
      </c>
      <c r="H20" s="16">
        <v>0.78819444444444398</v>
      </c>
      <c r="I20" s="16">
        <v>0.78819444444444398</v>
      </c>
      <c r="J20" s="16">
        <v>0.79236111111111096</v>
      </c>
      <c r="K20" s="16">
        <v>0.79236111111111096</v>
      </c>
      <c r="L20" s="16">
        <v>0.79652777777777795</v>
      </c>
      <c r="M20" s="11">
        <f t="shared" si="0"/>
        <v>12.000000000000917</v>
      </c>
      <c r="N20" s="9" t="s">
        <v>55</v>
      </c>
      <c r="O20" s="9" t="s">
        <v>107</v>
      </c>
      <c r="P20" s="10">
        <v>372</v>
      </c>
      <c r="Q20" s="17">
        <f t="shared" si="1"/>
        <v>6.0000000000004583</v>
      </c>
      <c r="R20" s="18">
        <f t="shared" si="2"/>
        <v>18</v>
      </c>
      <c r="S20" s="18" t="str">
        <f t="shared" si="3"/>
        <v>Y</v>
      </c>
    </row>
    <row r="21" spans="1:19" x14ac:dyDescent="0.25">
      <c r="A21" s="19">
        <v>46280</v>
      </c>
      <c r="B21" s="5" t="s">
        <v>134</v>
      </c>
      <c r="C21" s="5" t="s">
        <v>115</v>
      </c>
      <c r="D21" s="5" t="s">
        <v>135</v>
      </c>
      <c r="E21" s="5" t="s">
        <v>98</v>
      </c>
      <c r="F21" s="5" t="s">
        <v>99</v>
      </c>
      <c r="G21" s="5" t="s">
        <v>100</v>
      </c>
      <c r="H21" s="20">
        <v>0.469444444444444</v>
      </c>
      <c r="I21" s="20">
        <v>0.47013888888888899</v>
      </c>
      <c r="J21" s="20">
        <v>0.47291666666666698</v>
      </c>
      <c r="K21" s="20">
        <v>0.47430555555555598</v>
      </c>
      <c r="L21" s="20">
        <v>0.47916666666666702</v>
      </c>
      <c r="M21" s="7">
        <f t="shared" si="0"/>
        <v>14.000000000001149</v>
      </c>
      <c r="N21" s="5" t="s">
        <v>55</v>
      </c>
      <c r="O21" s="5" t="s">
        <v>62</v>
      </c>
      <c r="P21" s="6">
        <v>427</v>
      </c>
      <c r="Q21" s="21">
        <f t="shared" si="1"/>
        <v>4.0000000000003055</v>
      </c>
      <c r="R21" s="22">
        <f t="shared" si="2"/>
        <v>11</v>
      </c>
      <c r="S21" s="22" t="str">
        <f t="shared" si="3"/>
        <v>Y</v>
      </c>
    </row>
    <row r="22" spans="1:19" x14ac:dyDescent="0.25">
      <c r="A22" s="15">
        <v>46280</v>
      </c>
      <c r="B22" s="9" t="s">
        <v>136</v>
      </c>
      <c r="C22" s="9" t="s">
        <v>109</v>
      </c>
      <c r="D22" s="9" t="s">
        <v>137</v>
      </c>
      <c r="E22" s="9" t="s">
        <v>104</v>
      </c>
      <c r="F22" s="9" t="s">
        <v>105</v>
      </c>
      <c r="G22" s="9" t="s">
        <v>106</v>
      </c>
      <c r="H22" s="16">
        <v>0.67777777777777803</v>
      </c>
      <c r="I22" s="16">
        <v>0.67777777777777803</v>
      </c>
      <c r="J22" s="16">
        <v>0.68125000000000002</v>
      </c>
      <c r="K22" s="16">
        <v>0.68125000000000002</v>
      </c>
      <c r="L22" s="16">
        <v>0.68333333333333302</v>
      </c>
      <c r="M22" s="11">
        <f t="shared" si="0"/>
        <v>7.9999999999991722</v>
      </c>
      <c r="N22" s="9" t="s">
        <v>55</v>
      </c>
      <c r="O22" s="9"/>
      <c r="P22" s="10">
        <v>498</v>
      </c>
      <c r="Q22" s="17">
        <f t="shared" si="1"/>
        <v>4.9999999999996625</v>
      </c>
      <c r="R22" s="18">
        <f t="shared" si="2"/>
        <v>16</v>
      </c>
      <c r="S22" s="18" t="str">
        <f t="shared" si="3"/>
        <v>N</v>
      </c>
    </row>
    <row r="23" spans="1:19" x14ac:dyDescent="0.25">
      <c r="A23" s="19">
        <v>46280</v>
      </c>
      <c r="B23" s="5" t="s">
        <v>138</v>
      </c>
      <c r="C23" s="5" t="s">
        <v>139</v>
      </c>
      <c r="D23" s="5" t="s">
        <v>140</v>
      </c>
      <c r="E23" s="5" t="s">
        <v>111</v>
      </c>
      <c r="F23" s="5" t="s">
        <v>112</v>
      </c>
      <c r="G23" s="5" t="s">
        <v>113</v>
      </c>
      <c r="H23" s="20">
        <v>0.50486111111111098</v>
      </c>
      <c r="I23" s="20">
        <v>0.50486111111111098</v>
      </c>
      <c r="J23" s="20">
        <v>0.51041666666666696</v>
      </c>
      <c r="K23" s="20">
        <v>0.51180555555555596</v>
      </c>
      <c r="L23" s="20">
        <v>0.51388888888888895</v>
      </c>
      <c r="M23" s="7">
        <f t="shared" si="0"/>
        <v>13.000000000000274</v>
      </c>
      <c r="N23" s="5" t="s">
        <v>55</v>
      </c>
      <c r="O23" s="5" t="s">
        <v>141</v>
      </c>
      <c r="P23" s="6">
        <v>398</v>
      </c>
      <c r="Q23" s="21">
        <f t="shared" si="1"/>
        <v>8.0000000000006111</v>
      </c>
      <c r="R23" s="22">
        <f t="shared" si="2"/>
        <v>12</v>
      </c>
      <c r="S23" s="22" t="str">
        <f t="shared" si="3"/>
        <v>Y</v>
      </c>
    </row>
    <row r="24" spans="1:19" x14ac:dyDescent="0.25">
      <c r="A24" s="15">
        <v>46280</v>
      </c>
      <c r="B24" s="9" t="s">
        <v>142</v>
      </c>
      <c r="C24" s="9" t="s">
        <v>143</v>
      </c>
      <c r="D24" s="9" t="s">
        <v>144</v>
      </c>
      <c r="E24" s="9" t="s">
        <v>52</v>
      </c>
      <c r="F24" s="9" t="s">
        <v>53</v>
      </c>
      <c r="G24" s="9" t="s">
        <v>54</v>
      </c>
      <c r="H24" s="16">
        <v>0.88680555555555596</v>
      </c>
      <c r="I24" s="16">
        <v>0.88680555555555596</v>
      </c>
      <c r="J24" s="16">
        <v>0.88888888888888895</v>
      </c>
      <c r="K24" s="16">
        <v>0.88958333333333295</v>
      </c>
      <c r="L24" s="16">
        <v>0.89166666666666705</v>
      </c>
      <c r="M24" s="11">
        <f t="shared" si="0"/>
        <v>6.9999999999999751</v>
      </c>
      <c r="N24" s="9" t="s">
        <v>55</v>
      </c>
      <c r="O24" s="9"/>
      <c r="P24" s="10">
        <v>388</v>
      </c>
      <c r="Q24" s="17">
        <f t="shared" si="1"/>
        <v>2.9999999999995097</v>
      </c>
      <c r="R24" s="18">
        <f t="shared" si="2"/>
        <v>21</v>
      </c>
      <c r="S24" s="18" t="str">
        <f t="shared" si="3"/>
        <v>N</v>
      </c>
    </row>
    <row r="25" spans="1:19" x14ac:dyDescent="0.25">
      <c r="A25" s="19">
        <v>46280</v>
      </c>
      <c r="B25" s="5" t="s">
        <v>145</v>
      </c>
      <c r="C25" s="5" t="s">
        <v>139</v>
      </c>
      <c r="D25" s="5" t="s">
        <v>146</v>
      </c>
      <c r="E25" s="5" t="s">
        <v>59</v>
      </c>
      <c r="F25" s="5" t="s">
        <v>60</v>
      </c>
      <c r="G25" s="5" t="s">
        <v>61</v>
      </c>
      <c r="H25" s="20">
        <v>0.89097222222222205</v>
      </c>
      <c r="I25" s="20">
        <v>0.89097222222222205</v>
      </c>
      <c r="J25" s="20">
        <v>0.89513888888888904</v>
      </c>
      <c r="K25" s="20">
        <v>0.89513888888888904</v>
      </c>
      <c r="L25" s="20">
        <v>0.89652777777777803</v>
      </c>
      <c r="M25" s="7">
        <f t="shared" si="0"/>
        <v>8.0000000000006111</v>
      </c>
      <c r="N25" s="5" t="s">
        <v>55</v>
      </c>
      <c r="O25" s="5"/>
      <c r="P25" s="6">
        <v>435</v>
      </c>
      <c r="Q25" s="21">
        <f t="shared" si="1"/>
        <v>6.0000000000004583</v>
      </c>
      <c r="R25" s="22">
        <f t="shared" si="2"/>
        <v>21</v>
      </c>
      <c r="S25" s="22" t="str">
        <f t="shared" si="3"/>
        <v>N</v>
      </c>
    </row>
    <row r="26" spans="1:19" x14ac:dyDescent="0.25">
      <c r="A26" s="15">
        <v>46280</v>
      </c>
      <c r="B26" s="9" t="s">
        <v>147</v>
      </c>
      <c r="C26" s="9" t="s">
        <v>109</v>
      </c>
      <c r="D26" s="9" t="s">
        <v>148</v>
      </c>
      <c r="E26" s="9" t="s">
        <v>66</v>
      </c>
      <c r="F26" s="9" t="s">
        <v>67</v>
      </c>
      <c r="G26" s="9" t="s">
        <v>68</v>
      </c>
      <c r="H26" s="16">
        <v>0.79791666666666705</v>
      </c>
      <c r="I26" s="16"/>
      <c r="J26" s="16"/>
      <c r="K26" s="16"/>
      <c r="L26" s="16"/>
      <c r="M26" s="11" t="str">
        <f t="shared" si="0"/>
        <v/>
      </c>
      <c r="N26" s="9" t="s">
        <v>149</v>
      </c>
      <c r="O26" s="9"/>
      <c r="P26" s="10">
        <v>542</v>
      </c>
      <c r="Q26" s="17" t="str">
        <f t="shared" si="1"/>
        <v/>
      </c>
      <c r="R26" s="18">
        <f t="shared" si="2"/>
        <v>19</v>
      </c>
      <c r="S26" s="18" t="str">
        <f t="shared" si="3"/>
        <v>N</v>
      </c>
    </row>
    <row r="27" spans="1:19" x14ac:dyDescent="0.25">
      <c r="A27" s="19">
        <v>46280</v>
      </c>
      <c r="B27" s="5" t="s">
        <v>150</v>
      </c>
      <c r="C27" s="5" t="s">
        <v>64</v>
      </c>
      <c r="D27" s="5" t="s">
        <v>151</v>
      </c>
      <c r="E27" s="5" t="s">
        <v>73</v>
      </c>
      <c r="F27" s="5" t="s">
        <v>74</v>
      </c>
      <c r="G27" s="5" t="s">
        <v>75</v>
      </c>
      <c r="H27" s="20">
        <v>0.49444444444444502</v>
      </c>
      <c r="I27" s="20">
        <v>0.49513888888888902</v>
      </c>
      <c r="J27" s="20"/>
      <c r="K27" s="20"/>
      <c r="L27" s="20"/>
      <c r="M27" s="7" t="str">
        <f t="shared" si="0"/>
        <v/>
      </c>
      <c r="N27" s="5" t="s">
        <v>149</v>
      </c>
      <c r="O27" s="5"/>
      <c r="P27" s="6">
        <v>348</v>
      </c>
      <c r="Q27" s="21" t="str">
        <f t="shared" si="1"/>
        <v/>
      </c>
      <c r="R27" s="22">
        <f t="shared" si="2"/>
        <v>11</v>
      </c>
      <c r="S27" s="22" t="str">
        <f t="shared" si="3"/>
        <v>N</v>
      </c>
    </row>
    <row r="28" spans="1:19" x14ac:dyDescent="0.25">
      <c r="A28" s="15">
        <v>46280</v>
      </c>
      <c r="B28" s="9" t="s">
        <v>152</v>
      </c>
      <c r="C28" s="9" t="s">
        <v>64</v>
      </c>
      <c r="D28" s="9" t="s">
        <v>153</v>
      </c>
      <c r="E28" s="9" t="s">
        <v>80</v>
      </c>
      <c r="F28" s="9" t="s">
        <v>81</v>
      </c>
      <c r="G28" s="9" t="s">
        <v>82</v>
      </c>
      <c r="H28" s="16">
        <v>0.41388888888888897</v>
      </c>
      <c r="I28" s="16">
        <v>0.41458333333333303</v>
      </c>
      <c r="J28" s="16">
        <v>0.41736111111111102</v>
      </c>
      <c r="K28" s="16">
        <v>0.41875000000000001</v>
      </c>
      <c r="L28" s="16">
        <v>0.421527777777778</v>
      </c>
      <c r="M28" s="11">
        <f t="shared" si="0"/>
        <v>11.000000000000201</v>
      </c>
      <c r="N28" s="9" t="s">
        <v>55</v>
      </c>
      <c r="O28" s="9" t="s">
        <v>94</v>
      </c>
      <c r="P28" s="10">
        <v>159</v>
      </c>
      <c r="Q28" s="17">
        <f t="shared" si="1"/>
        <v>4.0000000000003055</v>
      </c>
      <c r="R28" s="18">
        <f t="shared" si="2"/>
        <v>9</v>
      </c>
      <c r="S28" s="18" t="str">
        <f t="shared" si="3"/>
        <v>Y</v>
      </c>
    </row>
    <row r="29" spans="1:19" x14ac:dyDescent="0.25">
      <c r="A29" s="19">
        <v>46280</v>
      </c>
      <c r="B29" s="5" t="s">
        <v>154</v>
      </c>
      <c r="C29" s="5" t="s">
        <v>155</v>
      </c>
      <c r="D29" s="5" t="s">
        <v>156</v>
      </c>
      <c r="E29" s="5" t="s">
        <v>85</v>
      </c>
      <c r="F29" s="5" t="s">
        <v>86</v>
      </c>
      <c r="G29" s="5" t="s">
        <v>87</v>
      </c>
      <c r="H29" s="20">
        <v>0.36458333333333298</v>
      </c>
      <c r="I29" s="20">
        <v>0.36527777777777798</v>
      </c>
      <c r="J29" s="20">
        <v>0.36736111111111103</v>
      </c>
      <c r="K29" s="20">
        <v>0.36875000000000002</v>
      </c>
      <c r="L29" s="20">
        <v>0.37291666666666701</v>
      </c>
      <c r="M29" s="7">
        <f t="shared" si="0"/>
        <v>12.000000000000997</v>
      </c>
      <c r="N29" s="5" t="s">
        <v>55</v>
      </c>
      <c r="O29" s="5" t="s">
        <v>107</v>
      </c>
      <c r="P29" s="6">
        <v>321</v>
      </c>
      <c r="Q29" s="21">
        <f t="shared" si="1"/>
        <v>2.9999999999995897</v>
      </c>
      <c r="R29" s="22">
        <f t="shared" si="2"/>
        <v>8</v>
      </c>
      <c r="S29" s="22" t="str">
        <f t="shared" si="3"/>
        <v>Y</v>
      </c>
    </row>
    <row r="30" spans="1:19" x14ac:dyDescent="0.25">
      <c r="A30" s="15">
        <v>46280</v>
      </c>
      <c r="B30" s="9" t="s">
        <v>157</v>
      </c>
      <c r="C30" s="9" t="s">
        <v>158</v>
      </c>
      <c r="D30" s="9" t="s">
        <v>159</v>
      </c>
      <c r="E30" s="9" t="s">
        <v>91</v>
      </c>
      <c r="F30" s="9" t="s">
        <v>92</v>
      </c>
      <c r="G30" s="9" t="s">
        <v>93</v>
      </c>
      <c r="H30" s="16">
        <v>0.61388888888888904</v>
      </c>
      <c r="I30" s="16">
        <v>0.61458333333333304</v>
      </c>
      <c r="J30" s="16">
        <v>0.61944444444444502</v>
      </c>
      <c r="K30" s="16">
        <v>0.61944444444444502</v>
      </c>
      <c r="L30" s="16">
        <v>0.62152777777777801</v>
      </c>
      <c r="M30" s="11">
        <f t="shared" si="0"/>
        <v>11.000000000000121</v>
      </c>
      <c r="N30" s="9" t="s">
        <v>55</v>
      </c>
      <c r="O30" s="9" t="s">
        <v>94</v>
      </c>
      <c r="P30" s="10">
        <v>550</v>
      </c>
      <c r="Q30" s="17">
        <f t="shared" si="1"/>
        <v>7.0000000000012541</v>
      </c>
      <c r="R30" s="18">
        <f t="shared" si="2"/>
        <v>14</v>
      </c>
      <c r="S30" s="18" t="str">
        <f t="shared" si="3"/>
        <v>Y</v>
      </c>
    </row>
    <row r="31" spans="1:19" x14ac:dyDescent="0.25">
      <c r="A31" s="19">
        <v>46280</v>
      </c>
      <c r="B31" s="5" t="s">
        <v>160</v>
      </c>
      <c r="C31" s="5" t="s">
        <v>158</v>
      </c>
      <c r="D31" s="5" t="s">
        <v>161</v>
      </c>
      <c r="E31" s="5" t="s">
        <v>98</v>
      </c>
      <c r="F31" s="5" t="s">
        <v>99</v>
      </c>
      <c r="G31" s="5" t="s">
        <v>100</v>
      </c>
      <c r="H31" s="20">
        <v>0.47708333333333303</v>
      </c>
      <c r="I31" s="20">
        <v>0.47777777777777802</v>
      </c>
      <c r="J31" s="20">
        <v>0.48194444444444501</v>
      </c>
      <c r="K31" s="20">
        <v>0.48263888888888901</v>
      </c>
      <c r="L31" s="20">
        <v>0.48611111111111099</v>
      </c>
      <c r="M31" s="7">
        <f t="shared" si="0"/>
        <v>13.000000000000274</v>
      </c>
      <c r="N31" s="5" t="s">
        <v>55</v>
      </c>
      <c r="O31" s="5" t="s">
        <v>62</v>
      </c>
      <c r="P31" s="6">
        <v>338</v>
      </c>
      <c r="Q31" s="21">
        <f t="shared" si="1"/>
        <v>6.0000000000004583</v>
      </c>
      <c r="R31" s="22">
        <f t="shared" si="2"/>
        <v>11</v>
      </c>
      <c r="S31" s="22" t="str">
        <f t="shared" si="3"/>
        <v>Y</v>
      </c>
    </row>
    <row r="32" spans="1:19" x14ac:dyDescent="0.25">
      <c r="A32" s="15">
        <v>46280</v>
      </c>
      <c r="B32" s="9" t="s">
        <v>162</v>
      </c>
      <c r="C32" s="9" t="s">
        <v>71</v>
      </c>
      <c r="D32" s="9" t="s">
        <v>163</v>
      </c>
      <c r="E32" s="9" t="s">
        <v>104</v>
      </c>
      <c r="F32" s="9" t="s">
        <v>105</v>
      </c>
      <c r="G32" s="9" t="s">
        <v>106</v>
      </c>
      <c r="H32" s="16">
        <v>0.49375000000000002</v>
      </c>
      <c r="I32" s="16">
        <v>0.49375000000000002</v>
      </c>
      <c r="J32" s="16">
        <v>0.49652777777777801</v>
      </c>
      <c r="K32" s="16">
        <v>0.49652777777777801</v>
      </c>
      <c r="L32" s="16">
        <v>0.49791666666666701</v>
      </c>
      <c r="M32" s="11">
        <f t="shared" si="0"/>
        <v>6.0000000000004583</v>
      </c>
      <c r="N32" s="9" t="s">
        <v>55</v>
      </c>
      <c r="O32" s="9"/>
      <c r="P32" s="10">
        <v>370</v>
      </c>
      <c r="Q32" s="17">
        <f t="shared" si="1"/>
        <v>4.0000000000003055</v>
      </c>
      <c r="R32" s="18">
        <f t="shared" si="2"/>
        <v>11</v>
      </c>
      <c r="S32" s="18" t="str">
        <f t="shared" si="3"/>
        <v>N</v>
      </c>
    </row>
    <row r="33" spans="1:19" x14ac:dyDescent="0.25">
      <c r="A33" s="19">
        <v>46280</v>
      </c>
      <c r="B33" s="5" t="s">
        <v>164</v>
      </c>
      <c r="C33" s="5" t="s">
        <v>115</v>
      </c>
      <c r="D33" s="5" t="s">
        <v>165</v>
      </c>
      <c r="E33" s="5" t="s">
        <v>111</v>
      </c>
      <c r="F33" s="5" t="s">
        <v>112</v>
      </c>
      <c r="G33" s="5" t="s">
        <v>113</v>
      </c>
      <c r="H33" s="20">
        <v>0.44513888888888897</v>
      </c>
      <c r="I33" s="20">
        <v>0.44513888888888897</v>
      </c>
      <c r="J33" s="20">
        <v>0.45138888888888901</v>
      </c>
      <c r="K33" s="20">
        <v>0.45138888888888901</v>
      </c>
      <c r="L33" s="20">
        <v>0.45486111111111099</v>
      </c>
      <c r="M33" s="7">
        <f t="shared" si="0"/>
        <v>13.99999999999971</v>
      </c>
      <c r="N33" s="5" t="s">
        <v>55</v>
      </c>
      <c r="O33" s="5" t="s">
        <v>120</v>
      </c>
      <c r="P33" s="6">
        <v>344</v>
      </c>
      <c r="Q33" s="21">
        <f t="shared" si="1"/>
        <v>9.000000000000048</v>
      </c>
      <c r="R33" s="22">
        <f t="shared" si="2"/>
        <v>10</v>
      </c>
      <c r="S33" s="22" t="str">
        <f t="shared" si="3"/>
        <v>Y</v>
      </c>
    </row>
    <row r="34" spans="1:19" x14ac:dyDescent="0.25">
      <c r="A34" s="15">
        <v>46281</v>
      </c>
      <c r="B34" s="9" t="s">
        <v>166</v>
      </c>
      <c r="C34" s="9" t="s">
        <v>167</v>
      </c>
      <c r="D34" s="9" t="s">
        <v>168</v>
      </c>
      <c r="E34" s="9" t="s">
        <v>59</v>
      </c>
      <c r="F34" s="9" t="s">
        <v>60</v>
      </c>
      <c r="G34" s="9" t="s">
        <v>169</v>
      </c>
      <c r="H34" s="16">
        <v>0.69305555555555598</v>
      </c>
      <c r="I34" s="16">
        <v>0.69374999999999998</v>
      </c>
      <c r="J34" s="16">
        <v>0.7</v>
      </c>
      <c r="K34" s="16">
        <v>0.70069444444444395</v>
      </c>
      <c r="L34" s="16">
        <v>0.70486111111111105</v>
      </c>
      <c r="M34" s="11">
        <f t="shared" si="0"/>
        <v>16.9999999999993</v>
      </c>
      <c r="N34" s="9" t="s">
        <v>55</v>
      </c>
      <c r="O34" s="9" t="s">
        <v>69</v>
      </c>
      <c r="P34" s="10">
        <v>636</v>
      </c>
      <c r="Q34" s="17">
        <f t="shared" si="1"/>
        <v>8.999999999999968</v>
      </c>
      <c r="R34" s="18">
        <f t="shared" si="2"/>
        <v>16</v>
      </c>
      <c r="S34" s="18" t="str">
        <f t="shared" si="3"/>
        <v>Y</v>
      </c>
    </row>
    <row r="35" spans="1:19" x14ac:dyDescent="0.25">
      <c r="A35" s="19">
        <v>46281</v>
      </c>
      <c r="B35" s="5" t="s">
        <v>170</v>
      </c>
      <c r="C35" s="5" t="s">
        <v>139</v>
      </c>
      <c r="D35" s="5" t="s">
        <v>171</v>
      </c>
      <c r="E35" s="5" t="s">
        <v>66</v>
      </c>
      <c r="F35" s="5" t="s">
        <v>67</v>
      </c>
      <c r="G35" s="5" t="s">
        <v>172</v>
      </c>
      <c r="H35" s="20">
        <v>0.51944444444444504</v>
      </c>
      <c r="I35" s="20">
        <v>0.51944444444444504</v>
      </c>
      <c r="J35" s="20">
        <v>0.52500000000000002</v>
      </c>
      <c r="K35" s="20">
        <v>0.52569444444444502</v>
      </c>
      <c r="L35" s="20">
        <v>0.52777777777777801</v>
      </c>
      <c r="M35" s="7">
        <f t="shared" si="0"/>
        <v>11.999999999999478</v>
      </c>
      <c r="N35" s="5" t="s">
        <v>55</v>
      </c>
      <c r="O35" s="5" t="s">
        <v>69</v>
      </c>
      <c r="P35" s="6">
        <v>398</v>
      </c>
      <c r="Q35" s="21">
        <f t="shared" si="1"/>
        <v>7.9999999999991722</v>
      </c>
      <c r="R35" s="22">
        <f t="shared" si="2"/>
        <v>12</v>
      </c>
      <c r="S35" s="22" t="str">
        <f t="shared" si="3"/>
        <v>Y</v>
      </c>
    </row>
    <row r="36" spans="1:19" x14ac:dyDescent="0.25">
      <c r="A36" s="15">
        <v>46281</v>
      </c>
      <c r="B36" s="9" t="s">
        <v>173</v>
      </c>
      <c r="C36" s="9" t="s">
        <v>174</v>
      </c>
      <c r="D36" s="9" t="s">
        <v>175</v>
      </c>
      <c r="E36" s="9" t="s">
        <v>73</v>
      </c>
      <c r="F36" s="9" t="s">
        <v>74</v>
      </c>
      <c r="G36" s="9" t="s">
        <v>176</v>
      </c>
      <c r="H36" s="16">
        <v>0.56527777777777799</v>
      </c>
      <c r="I36" s="16">
        <v>0.56597222222222199</v>
      </c>
      <c r="J36" s="16">
        <v>0.57013888888888897</v>
      </c>
      <c r="K36" s="16">
        <v>0.57013888888888897</v>
      </c>
      <c r="L36" s="16">
        <v>0.57222222222222197</v>
      </c>
      <c r="M36" s="11">
        <f t="shared" ref="M36:M67" si="4">IF(N36="Delivered",IFERROR((L36-H36)*1440,""),"")</f>
        <v>9.999999999999325</v>
      </c>
      <c r="N36" s="9" t="s">
        <v>55</v>
      </c>
      <c r="O36" s="9"/>
      <c r="P36" s="10">
        <v>550</v>
      </c>
      <c r="Q36" s="17">
        <f t="shared" ref="Q36:Q67" si="5">IF(AND(I36&lt;&gt;"",J36&lt;&gt;""),(J36-I36)*1440,"")</f>
        <v>6.0000000000004583</v>
      </c>
      <c r="R36" s="18">
        <f t="shared" ref="R36:R67" si="6">IF(H36&lt;&gt;"",HOUR(H36),"")</f>
        <v>13</v>
      </c>
      <c r="S36" s="18" t="str">
        <f t="shared" ref="S36:S67" si="7">IF(AND(N36="Delivered",M36&lt;&gt;"",M36&gt;10),"Y","N")</f>
        <v>N</v>
      </c>
    </row>
    <row r="37" spans="1:19" x14ac:dyDescent="0.25">
      <c r="A37" s="19">
        <v>46281</v>
      </c>
      <c r="B37" s="5" t="s">
        <v>177</v>
      </c>
      <c r="C37" s="5" t="s">
        <v>178</v>
      </c>
      <c r="D37" s="5" t="s">
        <v>179</v>
      </c>
      <c r="E37" s="5" t="s">
        <v>80</v>
      </c>
      <c r="F37" s="5" t="s">
        <v>81</v>
      </c>
      <c r="G37" s="5" t="s">
        <v>180</v>
      </c>
      <c r="H37" s="20">
        <v>0.91458333333333297</v>
      </c>
      <c r="I37" s="20">
        <v>0.91527777777777797</v>
      </c>
      <c r="J37" s="20">
        <v>0.92013888888888895</v>
      </c>
      <c r="K37" s="20">
        <v>0.92152777777777795</v>
      </c>
      <c r="L37" s="20">
        <v>0.92638888888888904</v>
      </c>
      <c r="M37" s="7">
        <f t="shared" si="4"/>
        <v>17.000000000000739</v>
      </c>
      <c r="N37" s="5" t="s">
        <v>55</v>
      </c>
      <c r="O37" s="5" t="s">
        <v>76</v>
      </c>
      <c r="P37" s="6">
        <v>345</v>
      </c>
      <c r="Q37" s="21">
        <f t="shared" si="5"/>
        <v>6.9999999999998153</v>
      </c>
      <c r="R37" s="22">
        <f t="shared" si="6"/>
        <v>21</v>
      </c>
      <c r="S37" s="22" t="str">
        <f t="shared" si="7"/>
        <v>Y</v>
      </c>
    </row>
    <row r="38" spans="1:19" x14ac:dyDescent="0.25">
      <c r="A38" s="15">
        <v>46281</v>
      </c>
      <c r="B38" s="9" t="s">
        <v>181</v>
      </c>
      <c r="C38" s="9" t="s">
        <v>89</v>
      </c>
      <c r="D38" s="9" t="s">
        <v>182</v>
      </c>
      <c r="E38" s="9" t="s">
        <v>85</v>
      </c>
      <c r="F38" s="9" t="s">
        <v>86</v>
      </c>
      <c r="G38" s="9" t="s">
        <v>183</v>
      </c>
      <c r="H38" s="16">
        <v>0.66736111111111096</v>
      </c>
      <c r="I38" s="16"/>
      <c r="J38" s="16"/>
      <c r="K38" s="16"/>
      <c r="L38" s="16"/>
      <c r="M38" s="11" t="str">
        <f t="shared" si="4"/>
        <v/>
      </c>
      <c r="N38" s="9" t="s">
        <v>149</v>
      </c>
      <c r="O38" s="9"/>
      <c r="P38" s="10">
        <v>147</v>
      </c>
      <c r="Q38" s="17" t="str">
        <f t="shared" si="5"/>
        <v/>
      </c>
      <c r="R38" s="18">
        <f t="shared" si="6"/>
        <v>16</v>
      </c>
      <c r="S38" s="18" t="str">
        <f t="shared" si="7"/>
        <v>N</v>
      </c>
    </row>
    <row r="39" spans="1:19" x14ac:dyDescent="0.25">
      <c r="A39" s="19">
        <v>46281</v>
      </c>
      <c r="B39" s="5" t="s">
        <v>184</v>
      </c>
      <c r="C39" s="5" t="s">
        <v>127</v>
      </c>
      <c r="D39" s="5" t="s">
        <v>185</v>
      </c>
      <c r="E39" s="5" t="s">
        <v>91</v>
      </c>
      <c r="F39" s="5" t="s">
        <v>92</v>
      </c>
      <c r="G39" s="5" t="s">
        <v>186</v>
      </c>
      <c r="H39" s="20">
        <v>0.57499999999999996</v>
      </c>
      <c r="I39" s="20">
        <v>0.57569444444444395</v>
      </c>
      <c r="J39" s="20">
        <v>0.57916666666666705</v>
      </c>
      <c r="K39" s="20">
        <v>0.57986111111111105</v>
      </c>
      <c r="L39" s="20">
        <v>0.58263888888888904</v>
      </c>
      <c r="M39" s="7">
        <f t="shared" si="4"/>
        <v>11.000000000000281</v>
      </c>
      <c r="N39" s="5" t="s">
        <v>55</v>
      </c>
      <c r="O39" s="5" t="s">
        <v>120</v>
      </c>
      <c r="P39" s="6">
        <v>203</v>
      </c>
      <c r="Q39" s="21">
        <f t="shared" si="5"/>
        <v>5.0000000000012612</v>
      </c>
      <c r="R39" s="22">
        <f t="shared" si="6"/>
        <v>13</v>
      </c>
      <c r="S39" s="22" t="str">
        <f t="shared" si="7"/>
        <v>Y</v>
      </c>
    </row>
    <row r="40" spans="1:19" x14ac:dyDescent="0.25">
      <c r="A40" s="15">
        <v>46281</v>
      </c>
      <c r="B40" s="9" t="s">
        <v>187</v>
      </c>
      <c r="C40" s="9" t="s">
        <v>188</v>
      </c>
      <c r="D40" s="9" t="s">
        <v>189</v>
      </c>
      <c r="E40" s="9" t="s">
        <v>98</v>
      </c>
      <c r="F40" s="9" t="s">
        <v>99</v>
      </c>
      <c r="G40" s="9" t="s">
        <v>190</v>
      </c>
      <c r="H40" s="16">
        <v>0.71458333333333302</v>
      </c>
      <c r="I40" s="16">
        <v>0.71458333333333302</v>
      </c>
      <c r="J40" s="16">
        <v>0.71736111111111101</v>
      </c>
      <c r="K40" s="16">
        <v>0.718055555555556</v>
      </c>
      <c r="L40" s="16">
        <v>0.72291666666666698</v>
      </c>
      <c r="M40" s="11">
        <f t="shared" si="4"/>
        <v>12.000000000000917</v>
      </c>
      <c r="N40" s="9" t="s">
        <v>55</v>
      </c>
      <c r="O40" s="9" t="s">
        <v>141</v>
      </c>
      <c r="P40" s="10">
        <v>237</v>
      </c>
      <c r="Q40" s="17">
        <f t="shared" si="5"/>
        <v>4.0000000000003055</v>
      </c>
      <c r="R40" s="18">
        <f t="shared" si="6"/>
        <v>17</v>
      </c>
      <c r="S40" s="18" t="str">
        <f t="shared" si="7"/>
        <v>Y</v>
      </c>
    </row>
    <row r="41" spans="1:19" x14ac:dyDescent="0.25">
      <c r="A41" s="19">
        <v>46281</v>
      </c>
      <c r="B41" s="5" t="s">
        <v>191</v>
      </c>
      <c r="C41" s="5" t="s">
        <v>139</v>
      </c>
      <c r="D41" s="5" t="s">
        <v>192</v>
      </c>
      <c r="E41" s="5" t="s">
        <v>104</v>
      </c>
      <c r="F41" s="5" t="s">
        <v>105</v>
      </c>
      <c r="G41" s="5" t="s">
        <v>193</v>
      </c>
      <c r="H41" s="20">
        <v>0.70902777777777803</v>
      </c>
      <c r="I41" s="20">
        <v>0.70972222222222203</v>
      </c>
      <c r="J41" s="20">
        <v>0.71458333333333302</v>
      </c>
      <c r="K41" s="20">
        <v>0.71597222222222201</v>
      </c>
      <c r="L41" s="20">
        <v>0.719444444444444</v>
      </c>
      <c r="M41" s="7">
        <f t="shared" si="4"/>
        <v>14.999999999998987</v>
      </c>
      <c r="N41" s="5" t="s">
        <v>55</v>
      </c>
      <c r="O41" s="5" t="s">
        <v>141</v>
      </c>
      <c r="P41" s="6">
        <v>526</v>
      </c>
      <c r="Q41" s="21">
        <f t="shared" si="5"/>
        <v>6.9999999999998153</v>
      </c>
      <c r="R41" s="22">
        <f t="shared" si="6"/>
        <v>17</v>
      </c>
      <c r="S41" s="22" t="str">
        <f t="shared" si="7"/>
        <v>Y</v>
      </c>
    </row>
    <row r="42" spans="1:19" x14ac:dyDescent="0.25">
      <c r="A42" s="15">
        <v>46281</v>
      </c>
      <c r="B42" s="9" t="s">
        <v>194</v>
      </c>
      <c r="C42" s="9" t="s">
        <v>174</v>
      </c>
      <c r="D42" s="9" t="s">
        <v>195</v>
      </c>
      <c r="E42" s="9" t="s">
        <v>111</v>
      </c>
      <c r="F42" s="9" t="s">
        <v>112</v>
      </c>
      <c r="G42" s="9" t="s">
        <v>196</v>
      </c>
      <c r="H42" s="16">
        <v>0.68541666666666701</v>
      </c>
      <c r="I42" s="16"/>
      <c r="J42" s="16"/>
      <c r="K42" s="16"/>
      <c r="L42" s="16"/>
      <c r="M42" s="11" t="str">
        <f t="shared" si="4"/>
        <v/>
      </c>
      <c r="N42" s="9" t="s">
        <v>149</v>
      </c>
      <c r="O42" s="9"/>
      <c r="P42" s="10">
        <v>469</v>
      </c>
      <c r="Q42" s="17" t="str">
        <f t="shared" si="5"/>
        <v/>
      </c>
      <c r="R42" s="18">
        <f t="shared" si="6"/>
        <v>16</v>
      </c>
      <c r="S42" s="18" t="str">
        <f t="shared" si="7"/>
        <v>N</v>
      </c>
    </row>
    <row r="43" spans="1:19" x14ac:dyDescent="0.25">
      <c r="A43" s="19">
        <v>46281</v>
      </c>
      <c r="B43" s="5" t="s">
        <v>197</v>
      </c>
      <c r="C43" s="5" t="s">
        <v>198</v>
      </c>
      <c r="D43" s="5" t="s">
        <v>199</v>
      </c>
      <c r="E43" s="5" t="s">
        <v>52</v>
      </c>
      <c r="F43" s="5" t="s">
        <v>53</v>
      </c>
      <c r="G43" s="5" t="s">
        <v>200</v>
      </c>
      <c r="H43" s="20">
        <v>0.74375000000000002</v>
      </c>
      <c r="I43" s="20">
        <v>0.74444444444444502</v>
      </c>
      <c r="J43" s="20">
        <v>0.74861111111111101</v>
      </c>
      <c r="K43" s="20">
        <v>0.749305555555556</v>
      </c>
      <c r="L43" s="20">
        <v>0.75416666666666698</v>
      </c>
      <c r="M43" s="7">
        <f t="shared" si="4"/>
        <v>15.000000000000426</v>
      </c>
      <c r="N43" s="5" t="s">
        <v>55</v>
      </c>
      <c r="O43" s="5" t="s">
        <v>141</v>
      </c>
      <c r="P43" s="6">
        <v>394</v>
      </c>
      <c r="Q43" s="21">
        <f t="shared" si="5"/>
        <v>5.9999999999990195</v>
      </c>
      <c r="R43" s="22">
        <f t="shared" si="6"/>
        <v>17</v>
      </c>
      <c r="S43" s="22" t="str">
        <f t="shared" si="7"/>
        <v>Y</v>
      </c>
    </row>
    <row r="44" spans="1:19" x14ac:dyDescent="0.25">
      <c r="A44" s="15">
        <v>46281</v>
      </c>
      <c r="B44" s="9" t="s">
        <v>201</v>
      </c>
      <c r="C44" s="9" t="s">
        <v>202</v>
      </c>
      <c r="D44" s="9" t="s">
        <v>203</v>
      </c>
      <c r="E44" s="9" t="s">
        <v>59</v>
      </c>
      <c r="F44" s="9" t="s">
        <v>60</v>
      </c>
      <c r="G44" s="9" t="s">
        <v>169</v>
      </c>
      <c r="H44" s="16">
        <v>0.35486111111111102</v>
      </c>
      <c r="I44" s="16">
        <v>0.35555555555555601</v>
      </c>
      <c r="J44" s="16">
        <v>0.358333333333333</v>
      </c>
      <c r="K44" s="16">
        <v>0.359027777777778</v>
      </c>
      <c r="L44" s="16">
        <v>0.36111111111111099</v>
      </c>
      <c r="M44" s="11">
        <f t="shared" si="4"/>
        <v>8.999999999999968</v>
      </c>
      <c r="N44" s="9" t="s">
        <v>55</v>
      </c>
      <c r="O44" s="9"/>
      <c r="P44" s="10">
        <v>483</v>
      </c>
      <c r="Q44" s="17">
        <f t="shared" si="5"/>
        <v>3.9999999999988667</v>
      </c>
      <c r="R44" s="18">
        <f t="shared" si="6"/>
        <v>8</v>
      </c>
      <c r="S44" s="18" t="str">
        <f t="shared" si="7"/>
        <v>N</v>
      </c>
    </row>
    <row r="45" spans="1:19" x14ac:dyDescent="0.25">
      <c r="A45" s="19">
        <v>46281</v>
      </c>
      <c r="B45" s="5" t="s">
        <v>204</v>
      </c>
      <c r="C45" s="5" t="s">
        <v>64</v>
      </c>
      <c r="D45" s="5" t="s">
        <v>205</v>
      </c>
      <c r="E45" s="5" t="s">
        <v>66</v>
      </c>
      <c r="F45" s="5" t="s">
        <v>67</v>
      </c>
      <c r="G45" s="5" t="s">
        <v>172</v>
      </c>
      <c r="H45" s="20">
        <v>0.80972222222222201</v>
      </c>
      <c r="I45" s="20">
        <v>0.81041666666666701</v>
      </c>
      <c r="J45" s="20">
        <v>0.81527777777777799</v>
      </c>
      <c r="K45" s="20">
        <v>0.81527777777777799</v>
      </c>
      <c r="L45" s="20">
        <v>0.82013888888888897</v>
      </c>
      <c r="M45" s="7">
        <f t="shared" si="4"/>
        <v>15.000000000000426</v>
      </c>
      <c r="N45" s="5" t="s">
        <v>55</v>
      </c>
      <c r="O45" s="5" t="s">
        <v>94</v>
      </c>
      <c r="P45" s="6">
        <v>607</v>
      </c>
      <c r="Q45" s="21">
        <f t="shared" si="5"/>
        <v>6.9999999999998153</v>
      </c>
      <c r="R45" s="22">
        <f t="shared" si="6"/>
        <v>19</v>
      </c>
      <c r="S45" s="22" t="str">
        <f t="shared" si="7"/>
        <v>Y</v>
      </c>
    </row>
    <row r="46" spans="1:19" x14ac:dyDescent="0.25">
      <c r="A46" s="15">
        <v>46281</v>
      </c>
      <c r="B46" s="9" t="s">
        <v>206</v>
      </c>
      <c r="C46" s="9" t="s">
        <v>139</v>
      </c>
      <c r="D46" s="9" t="s">
        <v>207</v>
      </c>
      <c r="E46" s="9" t="s">
        <v>73</v>
      </c>
      <c r="F46" s="9" t="s">
        <v>74</v>
      </c>
      <c r="G46" s="9" t="s">
        <v>176</v>
      </c>
      <c r="H46" s="16">
        <v>0.64930555555555602</v>
      </c>
      <c r="I46" s="16">
        <v>0.65</v>
      </c>
      <c r="J46" s="16">
        <v>0.65416666666666701</v>
      </c>
      <c r="K46" s="16">
        <v>0.655555555555556</v>
      </c>
      <c r="L46" s="16">
        <v>0.65972222222222199</v>
      </c>
      <c r="M46" s="11">
        <f t="shared" si="4"/>
        <v>14.999999999998987</v>
      </c>
      <c r="N46" s="9" t="s">
        <v>55</v>
      </c>
      <c r="O46" s="9" t="s">
        <v>94</v>
      </c>
      <c r="P46" s="10">
        <v>458</v>
      </c>
      <c r="Q46" s="17">
        <f t="shared" si="5"/>
        <v>6.0000000000004583</v>
      </c>
      <c r="R46" s="18">
        <f t="shared" si="6"/>
        <v>15</v>
      </c>
      <c r="S46" s="18" t="str">
        <f t="shared" si="7"/>
        <v>Y</v>
      </c>
    </row>
    <row r="47" spans="1:19" x14ac:dyDescent="0.25">
      <c r="A47" s="19">
        <v>46281</v>
      </c>
      <c r="B47" s="5" t="s">
        <v>208</v>
      </c>
      <c r="C47" s="5" t="s">
        <v>130</v>
      </c>
      <c r="D47" s="5" t="s">
        <v>209</v>
      </c>
      <c r="E47" s="5" t="s">
        <v>80</v>
      </c>
      <c r="F47" s="5" t="s">
        <v>81</v>
      </c>
      <c r="G47" s="5" t="s">
        <v>180</v>
      </c>
      <c r="H47" s="20">
        <v>0.46736111111111101</v>
      </c>
      <c r="I47" s="20">
        <v>0.468055555555556</v>
      </c>
      <c r="J47" s="20">
        <v>0.47152777777777799</v>
      </c>
      <c r="K47" s="20">
        <v>0.47291666666666698</v>
      </c>
      <c r="L47" s="20">
        <v>0.47708333333333303</v>
      </c>
      <c r="M47" s="7">
        <f t="shared" si="4"/>
        <v>13.99999999999971</v>
      </c>
      <c r="N47" s="5" t="s">
        <v>55</v>
      </c>
      <c r="O47" s="5" t="s">
        <v>62</v>
      </c>
      <c r="P47" s="6">
        <v>409</v>
      </c>
      <c r="Q47" s="21">
        <f t="shared" si="5"/>
        <v>4.9999999999996625</v>
      </c>
      <c r="R47" s="22">
        <f t="shared" si="6"/>
        <v>11</v>
      </c>
      <c r="S47" s="22" t="str">
        <f t="shared" si="7"/>
        <v>Y</v>
      </c>
    </row>
    <row r="48" spans="1:19" x14ac:dyDescent="0.25">
      <c r="A48" s="15">
        <v>46281</v>
      </c>
      <c r="B48" s="9" t="s">
        <v>210</v>
      </c>
      <c r="C48" s="9" t="s">
        <v>78</v>
      </c>
      <c r="D48" s="9" t="s">
        <v>211</v>
      </c>
      <c r="E48" s="9" t="s">
        <v>85</v>
      </c>
      <c r="F48" s="9" t="s">
        <v>86</v>
      </c>
      <c r="G48" s="9" t="s">
        <v>183</v>
      </c>
      <c r="H48" s="16">
        <v>0.33541666666666697</v>
      </c>
      <c r="I48" s="16">
        <v>0.33611111111111103</v>
      </c>
      <c r="J48" s="16">
        <v>0.34166666666666701</v>
      </c>
      <c r="K48" s="16">
        <v>0.34166666666666701</v>
      </c>
      <c r="L48" s="16">
        <v>0.34652777777777799</v>
      </c>
      <c r="M48" s="11">
        <f t="shared" si="4"/>
        <v>15.999999999999863</v>
      </c>
      <c r="N48" s="9" t="s">
        <v>55</v>
      </c>
      <c r="O48" s="9" t="s">
        <v>107</v>
      </c>
      <c r="P48" s="10">
        <v>622</v>
      </c>
      <c r="Q48" s="17">
        <f t="shared" si="5"/>
        <v>8.0000000000006111</v>
      </c>
      <c r="R48" s="18">
        <f t="shared" si="6"/>
        <v>8</v>
      </c>
      <c r="S48" s="18" t="str">
        <f t="shared" si="7"/>
        <v>Y</v>
      </c>
    </row>
    <row r="49" spans="1:19" x14ac:dyDescent="0.25">
      <c r="A49" s="19">
        <v>46281</v>
      </c>
      <c r="B49" s="5" t="s">
        <v>212</v>
      </c>
      <c r="C49" s="5" t="s">
        <v>213</v>
      </c>
      <c r="D49" s="5" t="s">
        <v>214</v>
      </c>
      <c r="E49" s="5" t="s">
        <v>91</v>
      </c>
      <c r="F49" s="5" t="s">
        <v>92</v>
      </c>
      <c r="G49" s="5" t="s">
        <v>186</v>
      </c>
      <c r="H49" s="20">
        <v>0.41111111111111098</v>
      </c>
      <c r="I49" s="20">
        <v>0.41111111111111098</v>
      </c>
      <c r="J49" s="20">
        <v>0.41527777777777802</v>
      </c>
      <c r="K49" s="20">
        <v>0.41597222222222202</v>
      </c>
      <c r="L49" s="20">
        <v>0.41736111111111102</v>
      </c>
      <c r="M49" s="7">
        <f t="shared" si="4"/>
        <v>9.000000000000048</v>
      </c>
      <c r="N49" s="5" t="s">
        <v>55</v>
      </c>
      <c r="O49" s="5"/>
      <c r="P49" s="6">
        <v>174</v>
      </c>
      <c r="Q49" s="21">
        <f t="shared" si="5"/>
        <v>6.0000000000005382</v>
      </c>
      <c r="R49" s="22">
        <f t="shared" si="6"/>
        <v>9</v>
      </c>
      <c r="S49" s="22" t="str">
        <f t="shared" si="7"/>
        <v>N</v>
      </c>
    </row>
    <row r="50" spans="1:19" x14ac:dyDescent="0.25">
      <c r="A50" s="15">
        <v>46281</v>
      </c>
      <c r="B50" s="9" t="s">
        <v>215</v>
      </c>
      <c r="C50" s="9" t="s">
        <v>216</v>
      </c>
      <c r="D50" s="9" t="s">
        <v>217</v>
      </c>
      <c r="E50" s="9" t="s">
        <v>98</v>
      </c>
      <c r="F50" s="9" t="s">
        <v>99</v>
      </c>
      <c r="G50" s="9" t="s">
        <v>190</v>
      </c>
      <c r="H50" s="16">
        <v>0.86041666666666705</v>
      </c>
      <c r="I50" s="16">
        <v>0.86041666666666705</v>
      </c>
      <c r="J50" s="16">
        <v>0.86666666666666703</v>
      </c>
      <c r="K50" s="16">
        <v>0.86805555555555602</v>
      </c>
      <c r="L50" s="16">
        <v>0.87152777777777801</v>
      </c>
      <c r="M50" s="11">
        <f t="shared" si="4"/>
        <v>15.999999999999783</v>
      </c>
      <c r="N50" s="9" t="s">
        <v>55</v>
      </c>
      <c r="O50" s="9" t="s">
        <v>76</v>
      </c>
      <c r="P50" s="10">
        <v>581</v>
      </c>
      <c r="Q50" s="17">
        <f t="shared" si="5"/>
        <v>8.999999999999968</v>
      </c>
      <c r="R50" s="18">
        <f t="shared" si="6"/>
        <v>20</v>
      </c>
      <c r="S50" s="18" t="str">
        <f t="shared" si="7"/>
        <v>Y</v>
      </c>
    </row>
    <row r="51" spans="1:19" x14ac:dyDescent="0.25">
      <c r="A51" s="19">
        <v>46281</v>
      </c>
      <c r="B51" s="5" t="s">
        <v>218</v>
      </c>
      <c r="C51" s="5" t="s">
        <v>127</v>
      </c>
      <c r="D51" s="5" t="s">
        <v>219</v>
      </c>
      <c r="E51" s="5" t="s">
        <v>104</v>
      </c>
      <c r="F51" s="5" t="s">
        <v>105</v>
      </c>
      <c r="G51" s="5" t="s">
        <v>193</v>
      </c>
      <c r="H51" s="20">
        <v>0.75902777777777797</v>
      </c>
      <c r="I51" s="20">
        <v>0.75972222222222197</v>
      </c>
      <c r="J51" s="20">
        <v>0.76527777777777795</v>
      </c>
      <c r="K51" s="20">
        <v>0.76527777777777795</v>
      </c>
      <c r="L51" s="20">
        <v>0.76736111111111105</v>
      </c>
      <c r="M51" s="7">
        <f t="shared" si="4"/>
        <v>11.999999999999638</v>
      </c>
      <c r="N51" s="5" t="s">
        <v>55</v>
      </c>
      <c r="O51" s="5" t="s">
        <v>107</v>
      </c>
      <c r="P51" s="6">
        <v>365</v>
      </c>
      <c r="Q51" s="21">
        <f t="shared" si="5"/>
        <v>8.0000000000006111</v>
      </c>
      <c r="R51" s="22">
        <f t="shared" si="6"/>
        <v>18</v>
      </c>
      <c r="S51" s="22" t="str">
        <f t="shared" si="7"/>
        <v>Y</v>
      </c>
    </row>
    <row r="52" spans="1:19" x14ac:dyDescent="0.25">
      <c r="A52" s="15">
        <v>46281</v>
      </c>
      <c r="B52" s="9" t="s">
        <v>220</v>
      </c>
      <c r="C52" s="9" t="s">
        <v>221</v>
      </c>
      <c r="D52" s="9" t="s">
        <v>222</v>
      </c>
      <c r="E52" s="9" t="s">
        <v>111</v>
      </c>
      <c r="F52" s="9" t="s">
        <v>112</v>
      </c>
      <c r="G52" s="9" t="s">
        <v>196</v>
      </c>
      <c r="H52" s="16">
        <v>0.80416666666666703</v>
      </c>
      <c r="I52" s="16">
        <v>0.80486111111111103</v>
      </c>
      <c r="J52" s="16">
        <v>0.80694444444444502</v>
      </c>
      <c r="K52" s="16">
        <v>0.80833333333333302</v>
      </c>
      <c r="L52" s="16">
        <v>0.81041666666666701</v>
      </c>
      <c r="M52" s="11">
        <f t="shared" si="4"/>
        <v>8.999999999999968</v>
      </c>
      <c r="N52" s="9" t="s">
        <v>55</v>
      </c>
      <c r="O52" s="9"/>
      <c r="P52" s="10">
        <v>390</v>
      </c>
      <c r="Q52" s="17">
        <f t="shared" si="5"/>
        <v>3.0000000000009486</v>
      </c>
      <c r="R52" s="18">
        <f t="shared" si="6"/>
        <v>19</v>
      </c>
      <c r="S52" s="18" t="str">
        <f t="shared" si="7"/>
        <v>N</v>
      </c>
    </row>
    <row r="53" spans="1:19" x14ac:dyDescent="0.25">
      <c r="A53" s="19">
        <v>46281</v>
      </c>
      <c r="B53" s="5" t="s">
        <v>223</v>
      </c>
      <c r="C53" s="5" t="s">
        <v>50</v>
      </c>
      <c r="D53" s="5" t="s">
        <v>224</v>
      </c>
      <c r="E53" s="5" t="s">
        <v>52</v>
      </c>
      <c r="F53" s="5" t="s">
        <v>53</v>
      </c>
      <c r="G53" s="5" t="s">
        <v>200</v>
      </c>
      <c r="H53" s="20">
        <v>0.37708333333333299</v>
      </c>
      <c r="I53" s="20">
        <v>0.37708333333333299</v>
      </c>
      <c r="J53" s="20">
        <v>0.38333333333333303</v>
      </c>
      <c r="K53" s="20">
        <v>0.38402777777777802</v>
      </c>
      <c r="L53" s="20">
        <v>0.38819444444444501</v>
      </c>
      <c r="M53" s="7">
        <f t="shared" si="4"/>
        <v>16.0000000000013</v>
      </c>
      <c r="N53" s="5" t="s">
        <v>55</v>
      </c>
      <c r="O53" s="5" t="s">
        <v>94</v>
      </c>
      <c r="P53" s="6">
        <v>415</v>
      </c>
      <c r="Q53" s="21">
        <f t="shared" si="5"/>
        <v>9.000000000000048</v>
      </c>
      <c r="R53" s="22">
        <f t="shared" si="6"/>
        <v>9</v>
      </c>
      <c r="S53" s="22" t="str">
        <f t="shared" si="7"/>
        <v>Y</v>
      </c>
    </row>
    <row r="54" spans="1:19" x14ac:dyDescent="0.25">
      <c r="A54" s="15">
        <v>46281</v>
      </c>
      <c r="B54" s="9" t="s">
        <v>225</v>
      </c>
      <c r="C54" s="9" t="s">
        <v>143</v>
      </c>
      <c r="D54" s="9" t="s">
        <v>226</v>
      </c>
      <c r="E54" s="9" t="s">
        <v>59</v>
      </c>
      <c r="F54" s="9" t="s">
        <v>60</v>
      </c>
      <c r="G54" s="9" t="s">
        <v>169</v>
      </c>
      <c r="H54" s="16">
        <v>0.37222222222222201</v>
      </c>
      <c r="I54" s="16">
        <v>0.37291666666666701</v>
      </c>
      <c r="J54" s="16"/>
      <c r="K54" s="16"/>
      <c r="L54" s="16"/>
      <c r="M54" s="11" t="str">
        <f t="shared" si="4"/>
        <v/>
      </c>
      <c r="N54" s="9" t="s">
        <v>149</v>
      </c>
      <c r="O54" s="9"/>
      <c r="P54" s="10">
        <v>376</v>
      </c>
      <c r="Q54" s="17" t="str">
        <f t="shared" si="5"/>
        <v/>
      </c>
      <c r="R54" s="18">
        <f t="shared" si="6"/>
        <v>8</v>
      </c>
      <c r="S54" s="18" t="str">
        <f t="shared" si="7"/>
        <v>N</v>
      </c>
    </row>
    <row r="55" spans="1:19" x14ac:dyDescent="0.25">
      <c r="A55" s="19">
        <v>46281</v>
      </c>
      <c r="B55" s="5" t="s">
        <v>227</v>
      </c>
      <c r="C55" s="5" t="s">
        <v>158</v>
      </c>
      <c r="D55" s="5" t="s">
        <v>228</v>
      </c>
      <c r="E55" s="5" t="s">
        <v>66</v>
      </c>
      <c r="F55" s="5" t="s">
        <v>67</v>
      </c>
      <c r="G55" s="5" t="s">
        <v>172</v>
      </c>
      <c r="H55" s="20">
        <v>0.76944444444444504</v>
      </c>
      <c r="I55" s="20">
        <v>0.77013888888888904</v>
      </c>
      <c r="J55" s="20">
        <v>0.77291666666666703</v>
      </c>
      <c r="K55" s="20">
        <v>0.77430555555555602</v>
      </c>
      <c r="L55" s="20">
        <v>0.77777777777777801</v>
      </c>
      <c r="M55" s="7">
        <f t="shared" si="4"/>
        <v>11.999999999999478</v>
      </c>
      <c r="N55" s="5" t="s">
        <v>55</v>
      </c>
      <c r="O55" s="5" t="s">
        <v>94</v>
      </c>
      <c r="P55" s="6">
        <v>623</v>
      </c>
      <c r="Q55" s="21">
        <f t="shared" si="5"/>
        <v>4.0000000000003055</v>
      </c>
      <c r="R55" s="22">
        <f t="shared" si="6"/>
        <v>18</v>
      </c>
      <c r="S55" s="22" t="str">
        <f t="shared" si="7"/>
        <v>Y</v>
      </c>
    </row>
    <row r="56" spans="1:19" x14ac:dyDescent="0.25">
      <c r="A56" s="15">
        <v>46281</v>
      </c>
      <c r="B56" s="9" t="s">
        <v>229</v>
      </c>
      <c r="C56" s="9" t="s">
        <v>155</v>
      </c>
      <c r="D56" s="9" t="s">
        <v>230</v>
      </c>
      <c r="E56" s="9" t="s">
        <v>73</v>
      </c>
      <c r="F56" s="9" t="s">
        <v>74</v>
      </c>
      <c r="G56" s="9" t="s">
        <v>176</v>
      </c>
      <c r="H56" s="16">
        <v>0.76736111111111105</v>
      </c>
      <c r="I56" s="16">
        <v>0.76736111111111105</v>
      </c>
      <c r="J56" s="16">
        <v>0.77152777777777803</v>
      </c>
      <c r="K56" s="16">
        <v>0.77152777777777803</v>
      </c>
      <c r="L56" s="16">
        <v>0.77430555555555602</v>
      </c>
      <c r="M56" s="11">
        <f t="shared" si="4"/>
        <v>10.000000000000764</v>
      </c>
      <c r="N56" s="9" t="s">
        <v>55</v>
      </c>
      <c r="O56" s="9"/>
      <c r="P56" s="10">
        <v>378</v>
      </c>
      <c r="Q56" s="17">
        <f t="shared" si="5"/>
        <v>6.0000000000004583</v>
      </c>
      <c r="R56" s="18">
        <f t="shared" si="6"/>
        <v>18</v>
      </c>
      <c r="S56" s="18" t="str">
        <f t="shared" si="7"/>
        <v>Y</v>
      </c>
    </row>
    <row r="57" spans="1:19" x14ac:dyDescent="0.25">
      <c r="A57" s="19">
        <v>46281</v>
      </c>
      <c r="B57" s="5" t="s">
        <v>231</v>
      </c>
      <c r="C57" s="5" t="s">
        <v>178</v>
      </c>
      <c r="D57" s="5" t="s">
        <v>232</v>
      </c>
      <c r="E57" s="5" t="s">
        <v>80</v>
      </c>
      <c r="F57" s="5" t="s">
        <v>81</v>
      </c>
      <c r="G57" s="5" t="s">
        <v>180</v>
      </c>
      <c r="H57" s="20">
        <v>0.56874999999999998</v>
      </c>
      <c r="I57" s="20">
        <v>0.56944444444444398</v>
      </c>
      <c r="J57" s="20">
        <v>0.57499999999999996</v>
      </c>
      <c r="K57" s="20">
        <v>0.57569444444444395</v>
      </c>
      <c r="L57" s="20">
        <v>0.57708333333333295</v>
      </c>
      <c r="M57" s="7">
        <f t="shared" si="4"/>
        <v>11.999999999999478</v>
      </c>
      <c r="N57" s="5" t="s">
        <v>55</v>
      </c>
      <c r="O57" s="5" t="s">
        <v>141</v>
      </c>
      <c r="P57" s="6">
        <v>328</v>
      </c>
      <c r="Q57" s="21">
        <f t="shared" si="5"/>
        <v>8.0000000000006111</v>
      </c>
      <c r="R57" s="22">
        <f t="shared" si="6"/>
        <v>13</v>
      </c>
      <c r="S57" s="22" t="str">
        <f t="shared" si="7"/>
        <v>Y</v>
      </c>
    </row>
    <row r="58" spans="1:19" x14ac:dyDescent="0.25">
      <c r="A58" s="15">
        <v>46281</v>
      </c>
      <c r="B58" s="9" t="s">
        <v>233</v>
      </c>
      <c r="C58" s="9" t="s">
        <v>109</v>
      </c>
      <c r="D58" s="9" t="s">
        <v>234</v>
      </c>
      <c r="E58" s="9" t="s">
        <v>85</v>
      </c>
      <c r="F58" s="9" t="s">
        <v>86</v>
      </c>
      <c r="G58" s="9" t="s">
        <v>183</v>
      </c>
      <c r="H58" s="16">
        <v>0.66666666666666696</v>
      </c>
      <c r="I58" s="16">
        <v>0.66736111111111096</v>
      </c>
      <c r="J58" s="16">
        <v>0.66944444444444395</v>
      </c>
      <c r="K58" s="16">
        <v>0.66944444444444395</v>
      </c>
      <c r="L58" s="16">
        <v>0.67083333333333295</v>
      </c>
      <c r="M58" s="11">
        <f t="shared" si="4"/>
        <v>5.9999999999990195</v>
      </c>
      <c r="N58" s="9" t="s">
        <v>55</v>
      </c>
      <c r="O58" s="9"/>
      <c r="P58" s="10">
        <v>592</v>
      </c>
      <c r="Q58" s="17">
        <f t="shared" si="5"/>
        <v>2.9999999999995097</v>
      </c>
      <c r="R58" s="18">
        <f t="shared" si="6"/>
        <v>16</v>
      </c>
      <c r="S58" s="18" t="str">
        <f t="shared" si="7"/>
        <v>N</v>
      </c>
    </row>
    <row r="59" spans="1:19" x14ac:dyDescent="0.25">
      <c r="A59" s="19">
        <v>46281</v>
      </c>
      <c r="B59" s="5" t="s">
        <v>235</v>
      </c>
      <c r="C59" s="5" t="s">
        <v>50</v>
      </c>
      <c r="D59" s="5" t="s">
        <v>236</v>
      </c>
      <c r="E59" s="5" t="s">
        <v>91</v>
      </c>
      <c r="F59" s="5" t="s">
        <v>92</v>
      </c>
      <c r="G59" s="5" t="s">
        <v>186</v>
      </c>
      <c r="H59" s="20">
        <v>0.64930555555555602</v>
      </c>
      <c r="I59" s="20">
        <v>0.64930555555555602</v>
      </c>
      <c r="J59" s="20">
        <v>0.65347222222222201</v>
      </c>
      <c r="K59" s="20">
        <v>0.65347222222222201</v>
      </c>
      <c r="L59" s="20">
        <v>0.65763888888888899</v>
      </c>
      <c r="M59" s="7">
        <f t="shared" si="4"/>
        <v>11.999999999999478</v>
      </c>
      <c r="N59" s="5" t="s">
        <v>55</v>
      </c>
      <c r="O59" s="5" t="s">
        <v>141</v>
      </c>
      <c r="P59" s="6">
        <v>640</v>
      </c>
      <c r="Q59" s="21">
        <f t="shared" si="5"/>
        <v>5.9999999999990195</v>
      </c>
      <c r="R59" s="22">
        <f t="shared" si="6"/>
        <v>15</v>
      </c>
      <c r="S59" s="22" t="str">
        <f t="shared" si="7"/>
        <v>Y</v>
      </c>
    </row>
    <row r="60" spans="1:19" x14ac:dyDescent="0.25">
      <c r="A60" s="15">
        <v>46281</v>
      </c>
      <c r="B60" s="9" t="s">
        <v>237</v>
      </c>
      <c r="C60" s="9" t="s">
        <v>127</v>
      </c>
      <c r="D60" s="9" t="s">
        <v>238</v>
      </c>
      <c r="E60" s="9" t="s">
        <v>98</v>
      </c>
      <c r="F60" s="9" t="s">
        <v>99</v>
      </c>
      <c r="G60" s="9" t="s">
        <v>190</v>
      </c>
      <c r="H60" s="16">
        <v>0.90069444444444502</v>
      </c>
      <c r="I60" s="16">
        <v>0.90138888888888902</v>
      </c>
      <c r="J60" s="16">
        <v>0.90763888888888899</v>
      </c>
      <c r="K60" s="16">
        <v>0.90763888888888899</v>
      </c>
      <c r="L60" s="16">
        <v>0.91111111111111098</v>
      </c>
      <c r="M60" s="11">
        <f t="shared" si="4"/>
        <v>14.999999999998987</v>
      </c>
      <c r="N60" s="9" t="s">
        <v>55</v>
      </c>
      <c r="O60" s="9" t="s">
        <v>69</v>
      </c>
      <c r="P60" s="10">
        <v>615</v>
      </c>
      <c r="Q60" s="17">
        <f t="shared" si="5"/>
        <v>8.999999999999968</v>
      </c>
      <c r="R60" s="18">
        <f t="shared" si="6"/>
        <v>21</v>
      </c>
      <c r="S60" s="18" t="str">
        <f t="shared" si="7"/>
        <v>Y</v>
      </c>
    </row>
    <row r="61" spans="1:19" x14ac:dyDescent="0.25">
      <c r="A61" s="19">
        <v>46281</v>
      </c>
      <c r="B61" s="5" t="s">
        <v>239</v>
      </c>
      <c r="C61" s="5" t="s">
        <v>178</v>
      </c>
      <c r="D61" s="5" t="s">
        <v>240</v>
      </c>
      <c r="E61" s="5" t="s">
        <v>104</v>
      </c>
      <c r="F61" s="5" t="s">
        <v>105</v>
      </c>
      <c r="G61" s="5" t="s">
        <v>193</v>
      </c>
      <c r="H61" s="20">
        <v>0.90902777777777799</v>
      </c>
      <c r="I61" s="20">
        <v>0.90972222222222199</v>
      </c>
      <c r="J61" s="20">
        <v>0.91180555555555598</v>
      </c>
      <c r="K61" s="20">
        <v>0.91249999999999998</v>
      </c>
      <c r="L61" s="20">
        <v>0.91736111111111096</v>
      </c>
      <c r="M61" s="7">
        <f t="shared" si="4"/>
        <v>11.999999999999478</v>
      </c>
      <c r="N61" s="5" t="s">
        <v>55</v>
      </c>
      <c r="O61" s="5" t="s">
        <v>62</v>
      </c>
      <c r="P61" s="6">
        <v>604</v>
      </c>
      <c r="Q61" s="21">
        <f t="shared" si="5"/>
        <v>3.0000000000009486</v>
      </c>
      <c r="R61" s="22">
        <f t="shared" si="6"/>
        <v>21</v>
      </c>
      <c r="S61" s="22" t="str">
        <f t="shared" si="7"/>
        <v>Y</v>
      </c>
    </row>
    <row r="62" spans="1:19" x14ac:dyDescent="0.25">
      <c r="A62" s="15">
        <v>46281</v>
      </c>
      <c r="B62" s="9" t="s">
        <v>241</v>
      </c>
      <c r="C62" s="9" t="s">
        <v>96</v>
      </c>
      <c r="D62" s="9" t="s">
        <v>242</v>
      </c>
      <c r="E62" s="9" t="s">
        <v>111</v>
      </c>
      <c r="F62" s="9" t="s">
        <v>112</v>
      </c>
      <c r="G62" s="9" t="s">
        <v>196</v>
      </c>
      <c r="H62" s="16">
        <v>0.91249999999999998</v>
      </c>
      <c r="I62" s="16">
        <v>0.91319444444444398</v>
      </c>
      <c r="J62" s="16">
        <v>0.91527777777777797</v>
      </c>
      <c r="K62" s="16">
        <v>0.91666666666666696</v>
      </c>
      <c r="L62" s="16">
        <v>0.92013888888888895</v>
      </c>
      <c r="M62" s="11">
        <f t="shared" si="4"/>
        <v>11.000000000000121</v>
      </c>
      <c r="N62" s="9" t="s">
        <v>55</v>
      </c>
      <c r="O62" s="9" t="s">
        <v>94</v>
      </c>
      <c r="P62" s="10">
        <v>135</v>
      </c>
      <c r="Q62" s="17">
        <f t="shared" si="5"/>
        <v>3.0000000000009486</v>
      </c>
      <c r="R62" s="18">
        <f t="shared" si="6"/>
        <v>21</v>
      </c>
      <c r="S62" s="18" t="str">
        <f t="shared" si="7"/>
        <v>Y</v>
      </c>
    </row>
    <row r="63" spans="1:19" x14ac:dyDescent="0.25">
      <c r="A63" s="19">
        <v>46281</v>
      </c>
      <c r="B63" s="5" t="s">
        <v>243</v>
      </c>
      <c r="C63" s="5" t="s">
        <v>127</v>
      </c>
      <c r="D63" s="5" t="s">
        <v>244</v>
      </c>
      <c r="E63" s="5" t="s">
        <v>52</v>
      </c>
      <c r="F63" s="5" t="s">
        <v>53</v>
      </c>
      <c r="G63" s="5" t="s">
        <v>200</v>
      </c>
      <c r="H63" s="20">
        <v>0.90486111111111101</v>
      </c>
      <c r="I63" s="20">
        <v>0.905555555555556</v>
      </c>
      <c r="J63" s="20">
        <v>0.90902777777777799</v>
      </c>
      <c r="K63" s="20">
        <v>0.91041666666666698</v>
      </c>
      <c r="L63" s="20">
        <v>0.91527777777777797</v>
      </c>
      <c r="M63" s="7">
        <f t="shared" si="4"/>
        <v>15.000000000000426</v>
      </c>
      <c r="N63" s="5" t="s">
        <v>55</v>
      </c>
      <c r="O63" s="5" t="s">
        <v>107</v>
      </c>
      <c r="P63" s="6">
        <v>619</v>
      </c>
      <c r="Q63" s="21">
        <f t="shared" si="5"/>
        <v>4.9999999999996625</v>
      </c>
      <c r="R63" s="22">
        <f t="shared" si="6"/>
        <v>21</v>
      </c>
      <c r="S63" s="22" t="str">
        <f t="shared" si="7"/>
        <v>Y</v>
      </c>
    </row>
    <row r="64" spans="1:19" x14ac:dyDescent="0.25">
      <c r="A64" s="15">
        <v>46282</v>
      </c>
      <c r="B64" s="9" t="s">
        <v>245</v>
      </c>
      <c r="C64" s="9" t="s">
        <v>115</v>
      </c>
      <c r="D64" s="9" t="s">
        <v>246</v>
      </c>
      <c r="E64" s="9" t="s">
        <v>66</v>
      </c>
      <c r="F64" s="9" t="s">
        <v>67</v>
      </c>
      <c r="G64" s="9" t="s">
        <v>68</v>
      </c>
      <c r="H64" s="16">
        <v>0.44722222222222202</v>
      </c>
      <c r="I64" s="16">
        <v>0.44791666666666702</v>
      </c>
      <c r="J64" s="16">
        <v>0.45</v>
      </c>
      <c r="K64" s="16">
        <v>0.45</v>
      </c>
      <c r="L64" s="16">
        <v>0.452777777777778</v>
      </c>
      <c r="M64" s="11">
        <f t="shared" si="4"/>
        <v>8.0000000000006111</v>
      </c>
      <c r="N64" s="9" t="s">
        <v>55</v>
      </c>
      <c r="O64" s="9"/>
      <c r="P64" s="10">
        <v>177</v>
      </c>
      <c r="Q64" s="17">
        <f t="shared" si="5"/>
        <v>2.9999999999995097</v>
      </c>
      <c r="R64" s="18">
        <f t="shared" si="6"/>
        <v>10</v>
      </c>
      <c r="S64" s="18" t="str">
        <f t="shared" si="7"/>
        <v>N</v>
      </c>
    </row>
    <row r="65" spans="1:19" x14ac:dyDescent="0.25">
      <c r="A65" s="19">
        <v>46282</v>
      </c>
      <c r="B65" s="5" t="s">
        <v>247</v>
      </c>
      <c r="C65" s="5" t="s">
        <v>155</v>
      </c>
      <c r="D65" s="5" t="s">
        <v>248</v>
      </c>
      <c r="E65" s="5" t="s">
        <v>73</v>
      </c>
      <c r="F65" s="5" t="s">
        <v>74</v>
      </c>
      <c r="G65" s="5" t="s">
        <v>75</v>
      </c>
      <c r="H65" s="20">
        <v>0.40208333333333302</v>
      </c>
      <c r="I65" s="20">
        <v>0.40277777777777801</v>
      </c>
      <c r="J65" s="20">
        <v>0.40763888888888899</v>
      </c>
      <c r="K65" s="20">
        <v>0.40902777777777799</v>
      </c>
      <c r="L65" s="20">
        <v>0.41111111111111098</v>
      </c>
      <c r="M65" s="7">
        <f t="shared" si="4"/>
        <v>13.000000000000274</v>
      </c>
      <c r="N65" s="5" t="s">
        <v>55</v>
      </c>
      <c r="O65" s="5" t="s">
        <v>141</v>
      </c>
      <c r="P65" s="6">
        <v>629</v>
      </c>
      <c r="Q65" s="21">
        <f t="shared" si="5"/>
        <v>6.9999999999998153</v>
      </c>
      <c r="R65" s="22">
        <f t="shared" si="6"/>
        <v>9</v>
      </c>
      <c r="S65" s="22" t="str">
        <f t="shared" si="7"/>
        <v>Y</v>
      </c>
    </row>
    <row r="66" spans="1:19" x14ac:dyDescent="0.25">
      <c r="A66" s="15">
        <v>46282</v>
      </c>
      <c r="B66" s="9" t="s">
        <v>249</v>
      </c>
      <c r="C66" s="9" t="s">
        <v>118</v>
      </c>
      <c r="D66" s="9" t="s">
        <v>250</v>
      </c>
      <c r="E66" s="9" t="s">
        <v>80</v>
      </c>
      <c r="F66" s="9" t="s">
        <v>81</v>
      </c>
      <c r="G66" s="9" t="s">
        <v>82</v>
      </c>
      <c r="H66" s="16">
        <v>0.39444444444444399</v>
      </c>
      <c r="I66" s="16">
        <v>0.39513888888888898</v>
      </c>
      <c r="J66" s="16">
        <v>0.4</v>
      </c>
      <c r="K66" s="16">
        <v>0.40069444444444502</v>
      </c>
      <c r="L66" s="16">
        <v>0.405555555555556</v>
      </c>
      <c r="M66" s="11">
        <f t="shared" si="4"/>
        <v>16.0000000000013</v>
      </c>
      <c r="N66" s="9" t="s">
        <v>55</v>
      </c>
      <c r="O66" s="9" t="s">
        <v>94</v>
      </c>
      <c r="P66" s="10">
        <v>554</v>
      </c>
      <c r="Q66" s="17">
        <f t="shared" si="5"/>
        <v>6.9999999999998952</v>
      </c>
      <c r="R66" s="18">
        <f t="shared" si="6"/>
        <v>9</v>
      </c>
      <c r="S66" s="18" t="str">
        <f t="shared" si="7"/>
        <v>Y</v>
      </c>
    </row>
    <row r="67" spans="1:19" x14ac:dyDescent="0.25">
      <c r="A67" s="19">
        <v>46282</v>
      </c>
      <c r="B67" s="5" t="s">
        <v>251</v>
      </c>
      <c r="C67" s="5" t="s">
        <v>127</v>
      </c>
      <c r="D67" s="5" t="s">
        <v>252</v>
      </c>
      <c r="E67" s="5" t="s">
        <v>85</v>
      </c>
      <c r="F67" s="5" t="s">
        <v>86</v>
      </c>
      <c r="G67" s="5" t="s">
        <v>87</v>
      </c>
      <c r="H67" s="20">
        <v>0.72083333333333299</v>
      </c>
      <c r="I67" s="20"/>
      <c r="J67" s="20"/>
      <c r="K67" s="20"/>
      <c r="L67" s="20"/>
      <c r="M67" s="7" t="str">
        <f t="shared" si="4"/>
        <v/>
      </c>
      <c r="N67" s="5" t="s">
        <v>149</v>
      </c>
      <c r="O67" s="5"/>
      <c r="P67" s="6">
        <v>401</v>
      </c>
      <c r="Q67" s="21" t="str">
        <f t="shared" si="5"/>
        <v/>
      </c>
      <c r="R67" s="22">
        <f t="shared" si="6"/>
        <v>17</v>
      </c>
      <c r="S67" s="22" t="str">
        <f t="shared" si="7"/>
        <v>N</v>
      </c>
    </row>
    <row r="68" spans="1:19" x14ac:dyDescent="0.25">
      <c r="A68" s="15">
        <v>46282</v>
      </c>
      <c r="B68" s="9" t="s">
        <v>253</v>
      </c>
      <c r="C68" s="9" t="s">
        <v>178</v>
      </c>
      <c r="D68" s="9" t="s">
        <v>254</v>
      </c>
      <c r="E68" s="9" t="s">
        <v>91</v>
      </c>
      <c r="F68" s="9" t="s">
        <v>92</v>
      </c>
      <c r="G68" s="9" t="s">
        <v>93</v>
      </c>
      <c r="H68" s="16">
        <v>0.719444444444444</v>
      </c>
      <c r="I68" s="16">
        <v>0.719444444444444</v>
      </c>
      <c r="J68" s="16">
        <v>0.72499999999999998</v>
      </c>
      <c r="K68" s="16">
        <v>0.72499999999999998</v>
      </c>
      <c r="L68" s="16">
        <v>0.72986111111111096</v>
      </c>
      <c r="M68" s="11">
        <f t="shared" ref="M68:M93" si="8">IF(N68="Delivered",IFERROR((L68-H68)*1440,""),"")</f>
        <v>15.000000000000426</v>
      </c>
      <c r="N68" s="9" t="s">
        <v>55</v>
      </c>
      <c r="O68" s="9" t="s">
        <v>94</v>
      </c>
      <c r="P68" s="10">
        <v>160</v>
      </c>
      <c r="Q68" s="17">
        <f t="shared" ref="Q68:Q93" si="9">IF(AND(I68&lt;&gt;"",J68&lt;&gt;""),(J68-I68)*1440,"")</f>
        <v>8.0000000000006111</v>
      </c>
      <c r="R68" s="18">
        <f t="shared" ref="R68:R93" si="10">IF(H68&lt;&gt;"",HOUR(H68),"")</f>
        <v>17</v>
      </c>
      <c r="S68" s="18" t="str">
        <f t="shared" ref="S68:S93" si="11">IF(AND(N68="Delivered",M68&lt;&gt;"",M68&gt;10),"Y","N")</f>
        <v>Y</v>
      </c>
    </row>
    <row r="69" spans="1:19" x14ac:dyDescent="0.25">
      <c r="A69" s="19">
        <v>46282</v>
      </c>
      <c r="B69" s="5" t="s">
        <v>255</v>
      </c>
      <c r="C69" s="5" t="s">
        <v>256</v>
      </c>
      <c r="D69" s="5" t="s">
        <v>257</v>
      </c>
      <c r="E69" s="5" t="s">
        <v>98</v>
      </c>
      <c r="F69" s="5" t="s">
        <v>99</v>
      </c>
      <c r="G69" s="5" t="s">
        <v>100</v>
      </c>
      <c r="H69" s="20">
        <v>0.45138888888888901</v>
      </c>
      <c r="I69" s="20">
        <v>0.452083333333333</v>
      </c>
      <c r="J69" s="20">
        <v>0.45694444444444399</v>
      </c>
      <c r="K69" s="20">
        <v>0.45833333333333298</v>
      </c>
      <c r="L69" s="20">
        <v>0.46111111111111103</v>
      </c>
      <c r="M69" s="7">
        <f t="shared" si="8"/>
        <v>13.99999999999971</v>
      </c>
      <c r="N69" s="5" t="s">
        <v>55</v>
      </c>
      <c r="O69" s="5" t="s">
        <v>62</v>
      </c>
      <c r="P69" s="6">
        <v>288</v>
      </c>
      <c r="Q69" s="21">
        <f t="shared" si="9"/>
        <v>6.9999999999998153</v>
      </c>
      <c r="R69" s="22">
        <f t="shared" si="10"/>
        <v>10</v>
      </c>
      <c r="S69" s="22" t="str">
        <f t="shared" si="11"/>
        <v>Y</v>
      </c>
    </row>
    <row r="70" spans="1:19" x14ac:dyDescent="0.25">
      <c r="A70" s="15">
        <v>46282</v>
      </c>
      <c r="B70" s="9" t="s">
        <v>258</v>
      </c>
      <c r="C70" s="9" t="s">
        <v>198</v>
      </c>
      <c r="D70" s="9" t="s">
        <v>259</v>
      </c>
      <c r="E70" s="9" t="s">
        <v>104</v>
      </c>
      <c r="F70" s="9" t="s">
        <v>105</v>
      </c>
      <c r="G70" s="9" t="s">
        <v>106</v>
      </c>
      <c r="H70" s="16">
        <v>0.54513888888888895</v>
      </c>
      <c r="I70" s="16">
        <v>0.54583333333333295</v>
      </c>
      <c r="J70" s="16">
        <v>0.54791666666666705</v>
      </c>
      <c r="K70" s="16">
        <v>0.54861111111111105</v>
      </c>
      <c r="L70" s="16">
        <v>0.55277777777777803</v>
      </c>
      <c r="M70" s="11">
        <f t="shared" si="8"/>
        <v>11.000000000000281</v>
      </c>
      <c r="N70" s="9" t="s">
        <v>55</v>
      </c>
      <c r="O70" s="9" t="s">
        <v>120</v>
      </c>
      <c r="P70" s="10">
        <v>246</v>
      </c>
      <c r="Q70" s="17">
        <f t="shared" si="9"/>
        <v>3.0000000000011084</v>
      </c>
      <c r="R70" s="18">
        <f t="shared" si="10"/>
        <v>13</v>
      </c>
      <c r="S70" s="18" t="str">
        <f t="shared" si="11"/>
        <v>Y</v>
      </c>
    </row>
    <row r="71" spans="1:19" x14ac:dyDescent="0.25">
      <c r="A71" s="19">
        <v>46282</v>
      </c>
      <c r="B71" s="5" t="s">
        <v>260</v>
      </c>
      <c r="C71" s="5" t="s">
        <v>102</v>
      </c>
      <c r="D71" s="5" t="s">
        <v>261</v>
      </c>
      <c r="E71" s="5" t="s">
        <v>111</v>
      </c>
      <c r="F71" s="5" t="s">
        <v>112</v>
      </c>
      <c r="G71" s="5" t="s">
        <v>113</v>
      </c>
      <c r="H71" s="20">
        <v>0.68055555555555602</v>
      </c>
      <c r="I71" s="20">
        <v>0.68055555555555602</v>
      </c>
      <c r="J71" s="20">
        <v>0.68611111111111101</v>
      </c>
      <c r="K71" s="20">
        <v>0.68611111111111101</v>
      </c>
      <c r="L71" s="20">
        <v>0.69097222222222199</v>
      </c>
      <c r="M71" s="7">
        <f t="shared" si="8"/>
        <v>14.999999999998987</v>
      </c>
      <c r="N71" s="5" t="s">
        <v>55</v>
      </c>
      <c r="O71" s="5" t="s">
        <v>76</v>
      </c>
      <c r="P71" s="6">
        <v>595</v>
      </c>
      <c r="Q71" s="21">
        <f t="shared" si="9"/>
        <v>7.9999999999991722</v>
      </c>
      <c r="R71" s="22">
        <f t="shared" si="10"/>
        <v>16</v>
      </c>
      <c r="S71" s="22" t="str">
        <f t="shared" si="11"/>
        <v>Y</v>
      </c>
    </row>
    <row r="72" spans="1:19" x14ac:dyDescent="0.25">
      <c r="A72" s="15">
        <v>46282</v>
      </c>
      <c r="B72" s="9" t="s">
        <v>262</v>
      </c>
      <c r="C72" s="9" t="s">
        <v>50</v>
      </c>
      <c r="D72" s="9" t="s">
        <v>263</v>
      </c>
      <c r="E72" s="9" t="s">
        <v>52</v>
      </c>
      <c r="F72" s="9" t="s">
        <v>53</v>
      </c>
      <c r="G72" s="9" t="s">
        <v>54</v>
      </c>
      <c r="H72" s="16">
        <v>0.49722222222222201</v>
      </c>
      <c r="I72" s="16">
        <v>0.49722222222222201</v>
      </c>
      <c r="J72" s="16">
        <v>0.50138888888888899</v>
      </c>
      <c r="K72" s="16">
        <v>0.50208333333333299</v>
      </c>
      <c r="L72" s="16">
        <v>0.50486111111111098</v>
      </c>
      <c r="M72" s="11">
        <f t="shared" si="8"/>
        <v>11.000000000000121</v>
      </c>
      <c r="N72" s="9" t="s">
        <v>55</v>
      </c>
      <c r="O72" s="9" t="s">
        <v>120</v>
      </c>
      <c r="P72" s="10">
        <v>549</v>
      </c>
      <c r="Q72" s="17">
        <f t="shared" si="9"/>
        <v>6.0000000000004583</v>
      </c>
      <c r="R72" s="18">
        <f t="shared" si="10"/>
        <v>11</v>
      </c>
      <c r="S72" s="18" t="str">
        <f t="shared" si="11"/>
        <v>Y</v>
      </c>
    </row>
    <row r="73" spans="1:19" x14ac:dyDescent="0.25">
      <c r="A73" s="19">
        <v>46282</v>
      </c>
      <c r="B73" s="5" t="s">
        <v>264</v>
      </c>
      <c r="C73" s="5" t="s">
        <v>265</v>
      </c>
      <c r="D73" s="5" t="s">
        <v>266</v>
      </c>
      <c r="E73" s="5" t="s">
        <v>59</v>
      </c>
      <c r="F73" s="5" t="s">
        <v>60</v>
      </c>
      <c r="G73" s="5" t="s">
        <v>61</v>
      </c>
      <c r="H73" s="20">
        <v>0.64444444444444504</v>
      </c>
      <c r="I73" s="20">
        <v>0.64444444444444504</v>
      </c>
      <c r="J73" s="20">
        <v>0.65069444444444502</v>
      </c>
      <c r="K73" s="20">
        <v>0.65138888888888902</v>
      </c>
      <c r="L73" s="20">
        <v>0.65277777777777801</v>
      </c>
      <c r="M73" s="7">
        <f t="shared" si="8"/>
        <v>11.999999999999478</v>
      </c>
      <c r="N73" s="5" t="s">
        <v>55</v>
      </c>
      <c r="O73" s="5" t="s">
        <v>120</v>
      </c>
      <c r="P73" s="6">
        <v>496</v>
      </c>
      <c r="Q73" s="21">
        <f t="shared" si="9"/>
        <v>8.999999999999968</v>
      </c>
      <c r="R73" s="22">
        <f t="shared" si="10"/>
        <v>15</v>
      </c>
      <c r="S73" s="22" t="str">
        <f t="shared" si="11"/>
        <v>Y</v>
      </c>
    </row>
    <row r="74" spans="1:19" x14ac:dyDescent="0.25">
      <c r="A74" s="15">
        <v>46282</v>
      </c>
      <c r="B74" s="9" t="s">
        <v>267</v>
      </c>
      <c r="C74" s="9" t="s">
        <v>155</v>
      </c>
      <c r="D74" s="9" t="s">
        <v>268</v>
      </c>
      <c r="E74" s="9" t="s">
        <v>66</v>
      </c>
      <c r="F74" s="9" t="s">
        <v>67</v>
      </c>
      <c r="G74" s="9" t="s">
        <v>68</v>
      </c>
      <c r="H74" s="16">
        <v>0.33541666666666697</v>
      </c>
      <c r="I74" s="16"/>
      <c r="J74" s="16"/>
      <c r="K74" s="16"/>
      <c r="L74" s="16"/>
      <c r="M74" s="11" t="str">
        <f t="shared" si="8"/>
        <v/>
      </c>
      <c r="N74" s="9" t="s">
        <v>149</v>
      </c>
      <c r="O74" s="9"/>
      <c r="P74" s="10">
        <v>330</v>
      </c>
      <c r="Q74" s="17" t="str">
        <f t="shared" si="9"/>
        <v/>
      </c>
      <c r="R74" s="18">
        <f t="shared" si="10"/>
        <v>8</v>
      </c>
      <c r="S74" s="18" t="str">
        <f t="shared" si="11"/>
        <v>N</v>
      </c>
    </row>
    <row r="75" spans="1:19" x14ac:dyDescent="0.25">
      <c r="A75" s="19">
        <v>46282</v>
      </c>
      <c r="B75" s="5" t="s">
        <v>269</v>
      </c>
      <c r="C75" s="5" t="s">
        <v>78</v>
      </c>
      <c r="D75" s="5" t="s">
        <v>270</v>
      </c>
      <c r="E75" s="5" t="s">
        <v>73</v>
      </c>
      <c r="F75" s="5" t="s">
        <v>74</v>
      </c>
      <c r="G75" s="5" t="s">
        <v>75</v>
      </c>
      <c r="H75" s="20">
        <v>0.44027777777777799</v>
      </c>
      <c r="I75" s="20">
        <v>0.44097222222222199</v>
      </c>
      <c r="J75" s="20">
        <v>0.44722222222222202</v>
      </c>
      <c r="K75" s="20">
        <v>0.44722222222222202</v>
      </c>
      <c r="L75" s="20">
        <v>0.44861111111111102</v>
      </c>
      <c r="M75" s="7">
        <f t="shared" si="8"/>
        <v>11.999999999999558</v>
      </c>
      <c r="N75" s="5" t="s">
        <v>55</v>
      </c>
      <c r="O75" s="5" t="s">
        <v>76</v>
      </c>
      <c r="P75" s="6">
        <v>146</v>
      </c>
      <c r="Q75" s="21">
        <f t="shared" si="9"/>
        <v>9.000000000000048</v>
      </c>
      <c r="R75" s="22">
        <f t="shared" si="10"/>
        <v>10</v>
      </c>
      <c r="S75" s="22" t="str">
        <f t="shared" si="11"/>
        <v>Y</v>
      </c>
    </row>
    <row r="76" spans="1:19" x14ac:dyDescent="0.25">
      <c r="A76" s="15">
        <v>46282</v>
      </c>
      <c r="B76" s="9" t="s">
        <v>271</v>
      </c>
      <c r="C76" s="9" t="s">
        <v>216</v>
      </c>
      <c r="D76" s="9" t="s">
        <v>272</v>
      </c>
      <c r="E76" s="9" t="s">
        <v>80</v>
      </c>
      <c r="F76" s="9" t="s">
        <v>81</v>
      </c>
      <c r="G76" s="9" t="s">
        <v>82</v>
      </c>
      <c r="H76" s="16">
        <v>0.67152777777777795</v>
      </c>
      <c r="I76" s="16">
        <v>0.67152777777777795</v>
      </c>
      <c r="J76" s="16">
        <v>0.67569444444444504</v>
      </c>
      <c r="K76" s="16">
        <v>0.67638888888888904</v>
      </c>
      <c r="L76" s="16">
        <v>0.67916666666666703</v>
      </c>
      <c r="M76" s="11">
        <f t="shared" si="8"/>
        <v>11.000000000000281</v>
      </c>
      <c r="N76" s="9" t="s">
        <v>55</v>
      </c>
      <c r="O76" s="9" t="s">
        <v>94</v>
      </c>
      <c r="P76" s="10">
        <v>645</v>
      </c>
      <c r="Q76" s="17">
        <f t="shared" si="9"/>
        <v>6.0000000000006182</v>
      </c>
      <c r="R76" s="18">
        <f t="shared" si="10"/>
        <v>16</v>
      </c>
      <c r="S76" s="18" t="str">
        <f t="shared" si="11"/>
        <v>Y</v>
      </c>
    </row>
    <row r="77" spans="1:19" x14ac:dyDescent="0.25">
      <c r="A77" s="19">
        <v>46282</v>
      </c>
      <c r="B77" s="5" t="s">
        <v>273</v>
      </c>
      <c r="C77" s="5" t="s">
        <v>167</v>
      </c>
      <c r="D77" s="5" t="s">
        <v>274</v>
      </c>
      <c r="E77" s="5" t="s">
        <v>85</v>
      </c>
      <c r="F77" s="5" t="s">
        <v>86</v>
      </c>
      <c r="G77" s="5" t="s">
        <v>87</v>
      </c>
      <c r="H77" s="20">
        <v>0.89236111111111105</v>
      </c>
      <c r="I77" s="20">
        <v>0.89305555555555605</v>
      </c>
      <c r="J77" s="20"/>
      <c r="K77" s="20"/>
      <c r="L77" s="20"/>
      <c r="M77" s="7" t="str">
        <f t="shared" si="8"/>
        <v/>
      </c>
      <c r="N77" s="5" t="s">
        <v>149</v>
      </c>
      <c r="O77" s="5"/>
      <c r="P77" s="6">
        <v>574</v>
      </c>
      <c r="Q77" s="21" t="str">
        <f t="shared" si="9"/>
        <v/>
      </c>
      <c r="R77" s="22">
        <f t="shared" si="10"/>
        <v>21</v>
      </c>
      <c r="S77" s="22" t="str">
        <f t="shared" si="11"/>
        <v>N</v>
      </c>
    </row>
    <row r="78" spans="1:19" x14ac:dyDescent="0.25">
      <c r="A78" s="15">
        <v>46282</v>
      </c>
      <c r="B78" s="9" t="s">
        <v>275</v>
      </c>
      <c r="C78" s="9" t="s">
        <v>115</v>
      </c>
      <c r="D78" s="9" t="s">
        <v>276</v>
      </c>
      <c r="E78" s="9" t="s">
        <v>91</v>
      </c>
      <c r="F78" s="9" t="s">
        <v>92</v>
      </c>
      <c r="G78" s="9" t="s">
        <v>93</v>
      </c>
      <c r="H78" s="16">
        <v>0.73124999999999996</v>
      </c>
      <c r="I78" s="16"/>
      <c r="J78" s="16"/>
      <c r="K78" s="16"/>
      <c r="L78" s="16"/>
      <c r="M78" s="11" t="str">
        <f t="shared" si="8"/>
        <v/>
      </c>
      <c r="N78" s="9" t="s">
        <v>149</v>
      </c>
      <c r="O78" s="9"/>
      <c r="P78" s="10">
        <v>560</v>
      </c>
      <c r="Q78" s="17" t="str">
        <f t="shared" si="9"/>
        <v/>
      </c>
      <c r="R78" s="18">
        <f t="shared" si="10"/>
        <v>17</v>
      </c>
      <c r="S78" s="18" t="str">
        <f t="shared" si="11"/>
        <v>N</v>
      </c>
    </row>
    <row r="79" spans="1:19" x14ac:dyDescent="0.25">
      <c r="A79" s="19">
        <v>46282</v>
      </c>
      <c r="B79" s="5" t="s">
        <v>277</v>
      </c>
      <c r="C79" s="5" t="s">
        <v>127</v>
      </c>
      <c r="D79" s="5" t="s">
        <v>278</v>
      </c>
      <c r="E79" s="5" t="s">
        <v>98</v>
      </c>
      <c r="F79" s="5" t="s">
        <v>99</v>
      </c>
      <c r="G79" s="5" t="s">
        <v>100</v>
      </c>
      <c r="H79" s="20">
        <v>0.61527777777777803</v>
      </c>
      <c r="I79" s="20">
        <v>0.61527777777777803</v>
      </c>
      <c r="J79" s="20">
        <v>0.61875000000000002</v>
      </c>
      <c r="K79" s="20">
        <v>0.61944444444444502</v>
      </c>
      <c r="L79" s="20">
        <v>0.62222222222222201</v>
      </c>
      <c r="M79" s="7">
        <f t="shared" si="8"/>
        <v>9.999999999999325</v>
      </c>
      <c r="N79" s="5" t="s">
        <v>55</v>
      </c>
      <c r="O79" s="5"/>
      <c r="P79" s="6">
        <v>381</v>
      </c>
      <c r="Q79" s="21">
        <f t="shared" si="9"/>
        <v>4.9999999999996625</v>
      </c>
      <c r="R79" s="22">
        <f t="shared" si="10"/>
        <v>14</v>
      </c>
      <c r="S79" s="22" t="str">
        <f t="shared" si="11"/>
        <v>N</v>
      </c>
    </row>
    <row r="80" spans="1:19" x14ac:dyDescent="0.25">
      <c r="A80" s="15">
        <v>46282</v>
      </c>
      <c r="B80" s="9" t="s">
        <v>279</v>
      </c>
      <c r="C80" s="9" t="s">
        <v>265</v>
      </c>
      <c r="D80" s="9" t="s">
        <v>280</v>
      </c>
      <c r="E80" s="9" t="s">
        <v>104</v>
      </c>
      <c r="F80" s="9" t="s">
        <v>105</v>
      </c>
      <c r="G80" s="9" t="s">
        <v>106</v>
      </c>
      <c r="H80" s="16">
        <v>0.66874999999999996</v>
      </c>
      <c r="I80" s="16">
        <v>0.66944444444444395</v>
      </c>
      <c r="J80" s="16">
        <v>0.67500000000000004</v>
      </c>
      <c r="K80" s="16">
        <v>0.67500000000000004</v>
      </c>
      <c r="L80" s="16">
        <v>0.67847222222222203</v>
      </c>
      <c r="M80" s="11">
        <f t="shared" si="8"/>
        <v>13.99999999999979</v>
      </c>
      <c r="N80" s="9" t="s">
        <v>55</v>
      </c>
      <c r="O80" s="9" t="s">
        <v>62</v>
      </c>
      <c r="P80" s="10">
        <v>482</v>
      </c>
      <c r="Q80" s="17">
        <f t="shared" si="9"/>
        <v>8.0000000000007709</v>
      </c>
      <c r="R80" s="18">
        <f t="shared" si="10"/>
        <v>16</v>
      </c>
      <c r="S80" s="18" t="str">
        <f t="shared" si="11"/>
        <v>Y</v>
      </c>
    </row>
    <row r="81" spans="1:19" x14ac:dyDescent="0.25">
      <c r="A81" s="19">
        <v>46282</v>
      </c>
      <c r="B81" s="5" t="s">
        <v>281</v>
      </c>
      <c r="C81" s="5" t="s">
        <v>89</v>
      </c>
      <c r="D81" s="5" t="s">
        <v>282</v>
      </c>
      <c r="E81" s="5" t="s">
        <v>111</v>
      </c>
      <c r="F81" s="5" t="s">
        <v>112</v>
      </c>
      <c r="G81" s="5" t="s">
        <v>113</v>
      </c>
      <c r="H81" s="20">
        <v>0.44583333333333303</v>
      </c>
      <c r="I81" s="20">
        <v>0.44652777777777802</v>
      </c>
      <c r="J81" s="20">
        <v>0.44930555555555601</v>
      </c>
      <c r="K81" s="20">
        <v>0.44930555555555601</v>
      </c>
      <c r="L81" s="20">
        <v>0.452083333333333</v>
      </c>
      <c r="M81" s="7">
        <f t="shared" si="8"/>
        <v>8.999999999999968</v>
      </c>
      <c r="N81" s="5" t="s">
        <v>55</v>
      </c>
      <c r="O81" s="5"/>
      <c r="P81" s="6">
        <v>496</v>
      </c>
      <c r="Q81" s="21">
        <f t="shared" si="9"/>
        <v>4.0000000000003055</v>
      </c>
      <c r="R81" s="22">
        <f t="shared" si="10"/>
        <v>10</v>
      </c>
      <c r="S81" s="22" t="str">
        <f t="shared" si="11"/>
        <v>N</v>
      </c>
    </row>
    <row r="82" spans="1:19" x14ac:dyDescent="0.25">
      <c r="A82" s="15">
        <v>46282</v>
      </c>
      <c r="B82" s="9" t="s">
        <v>283</v>
      </c>
      <c r="C82" s="9" t="s">
        <v>130</v>
      </c>
      <c r="D82" s="9" t="s">
        <v>284</v>
      </c>
      <c r="E82" s="9" t="s">
        <v>52</v>
      </c>
      <c r="F82" s="9" t="s">
        <v>53</v>
      </c>
      <c r="G82" s="9" t="s">
        <v>54</v>
      </c>
      <c r="H82" s="16">
        <v>0.78680555555555598</v>
      </c>
      <c r="I82" s="16">
        <v>0.78749999999999998</v>
      </c>
      <c r="J82" s="16">
        <v>0.78958333333333297</v>
      </c>
      <c r="K82" s="16">
        <v>0.78958333333333297</v>
      </c>
      <c r="L82" s="16">
        <v>0.79236111111111096</v>
      </c>
      <c r="M82" s="11">
        <f t="shared" si="8"/>
        <v>7.9999999999991722</v>
      </c>
      <c r="N82" s="9" t="s">
        <v>55</v>
      </c>
      <c r="O82" s="9"/>
      <c r="P82" s="10">
        <v>436</v>
      </c>
      <c r="Q82" s="17">
        <f t="shared" si="9"/>
        <v>2.9999999999995097</v>
      </c>
      <c r="R82" s="18">
        <f t="shared" si="10"/>
        <v>18</v>
      </c>
      <c r="S82" s="18" t="str">
        <f t="shared" si="11"/>
        <v>N</v>
      </c>
    </row>
    <row r="83" spans="1:19" x14ac:dyDescent="0.25">
      <c r="A83" s="19">
        <v>46282</v>
      </c>
      <c r="B83" s="5" t="s">
        <v>285</v>
      </c>
      <c r="C83" s="5" t="s">
        <v>155</v>
      </c>
      <c r="D83" s="5" t="s">
        <v>286</v>
      </c>
      <c r="E83" s="5" t="s">
        <v>59</v>
      </c>
      <c r="F83" s="5" t="s">
        <v>60</v>
      </c>
      <c r="G83" s="5" t="s">
        <v>61</v>
      </c>
      <c r="H83" s="20">
        <v>0.81458333333333299</v>
      </c>
      <c r="I83" s="20">
        <v>0.81458333333333299</v>
      </c>
      <c r="J83" s="20">
        <v>0.81874999999999998</v>
      </c>
      <c r="K83" s="20">
        <v>0.81944444444444398</v>
      </c>
      <c r="L83" s="20">
        <v>0.82291666666666696</v>
      </c>
      <c r="M83" s="7">
        <f t="shared" si="8"/>
        <v>12.000000000000917</v>
      </c>
      <c r="N83" s="5" t="s">
        <v>55</v>
      </c>
      <c r="O83" s="5" t="s">
        <v>76</v>
      </c>
      <c r="P83" s="6">
        <v>469</v>
      </c>
      <c r="Q83" s="21">
        <f t="shared" si="9"/>
        <v>6.0000000000004583</v>
      </c>
      <c r="R83" s="22">
        <f t="shared" si="10"/>
        <v>19</v>
      </c>
      <c r="S83" s="22" t="str">
        <f t="shared" si="11"/>
        <v>Y</v>
      </c>
    </row>
    <row r="84" spans="1:19" x14ac:dyDescent="0.25">
      <c r="A84" s="15">
        <v>46282</v>
      </c>
      <c r="B84" s="9" t="s">
        <v>287</v>
      </c>
      <c r="C84" s="9" t="s">
        <v>102</v>
      </c>
      <c r="D84" s="9" t="s">
        <v>288</v>
      </c>
      <c r="E84" s="9" t="s">
        <v>66</v>
      </c>
      <c r="F84" s="9" t="s">
        <v>67</v>
      </c>
      <c r="G84" s="9" t="s">
        <v>68</v>
      </c>
      <c r="H84" s="16">
        <v>0.75347222222222199</v>
      </c>
      <c r="I84" s="16">
        <v>0.75416666666666698</v>
      </c>
      <c r="J84" s="16">
        <v>0.75833333333333297</v>
      </c>
      <c r="K84" s="16">
        <v>0.75972222222222197</v>
      </c>
      <c r="L84" s="16">
        <v>0.76319444444444395</v>
      </c>
      <c r="M84" s="11">
        <f t="shared" si="8"/>
        <v>13.999999999999631</v>
      </c>
      <c r="N84" s="9" t="s">
        <v>55</v>
      </c>
      <c r="O84" s="9" t="s">
        <v>94</v>
      </c>
      <c r="P84" s="10">
        <v>617</v>
      </c>
      <c r="Q84" s="17">
        <f t="shared" si="9"/>
        <v>5.9999999999990195</v>
      </c>
      <c r="R84" s="18">
        <f t="shared" si="10"/>
        <v>18</v>
      </c>
      <c r="S84" s="18" t="str">
        <f t="shared" si="11"/>
        <v>Y</v>
      </c>
    </row>
    <row r="85" spans="1:19" x14ac:dyDescent="0.25">
      <c r="A85" s="19">
        <v>46282</v>
      </c>
      <c r="B85" s="5" t="s">
        <v>289</v>
      </c>
      <c r="C85" s="5" t="s">
        <v>130</v>
      </c>
      <c r="D85" s="5" t="s">
        <v>290</v>
      </c>
      <c r="E85" s="5" t="s">
        <v>73</v>
      </c>
      <c r="F85" s="5" t="s">
        <v>74</v>
      </c>
      <c r="G85" s="5" t="s">
        <v>75</v>
      </c>
      <c r="H85" s="20">
        <v>0.69583333333333297</v>
      </c>
      <c r="I85" s="20">
        <v>0.69652777777777797</v>
      </c>
      <c r="J85" s="20"/>
      <c r="K85" s="20"/>
      <c r="L85" s="20"/>
      <c r="M85" s="7" t="str">
        <f t="shared" si="8"/>
        <v/>
      </c>
      <c r="N85" s="5" t="s">
        <v>149</v>
      </c>
      <c r="O85" s="5"/>
      <c r="P85" s="6">
        <v>176</v>
      </c>
      <c r="Q85" s="21" t="str">
        <f t="shared" si="9"/>
        <v/>
      </c>
      <c r="R85" s="22">
        <f t="shared" si="10"/>
        <v>16</v>
      </c>
      <c r="S85" s="22" t="str">
        <f t="shared" si="11"/>
        <v>N</v>
      </c>
    </row>
    <row r="86" spans="1:19" x14ac:dyDescent="0.25">
      <c r="A86" s="15">
        <v>46282</v>
      </c>
      <c r="B86" s="9" t="s">
        <v>291</v>
      </c>
      <c r="C86" s="9" t="s">
        <v>78</v>
      </c>
      <c r="D86" s="9" t="s">
        <v>292</v>
      </c>
      <c r="E86" s="9" t="s">
        <v>80</v>
      </c>
      <c r="F86" s="9" t="s">
        <v>81</v>
      </c>
      <c r="G86" s="9" t="s">
        <v>82</v>
      </c>
      <c r="H86" s="16">
        <v>0.43333333333333302</v>
      </c>
      <c r="I86" s="16"/>
      <c r="J86" s="16"/>
      <c r="K86" s="16"/>
      <c r="L86" s="16"/>
      <c r="M86" s="11" t="str">
        <f t="shared" si="8"/>
        <v/>
      </c>
      <c r="N86" s="9" t="s">
        <v>293</v>
      </c>
      <c r="O86" s="9"/>
      <c r="P86" s="10">
        <v>482</v>
      </c>
      <c r="Q86" s="17" t="str">
        <f t="shared" si="9"/>
        <v/>
      </c>
      <c r="R86" s="18">
        <f t="shared" si="10"/>
        <v>10</v>
      </c>
      <c r="S86" s="18" t="str">
        <f t="shared" si="11"/>
        <v>N</v>
      </c>
    </row>
    <row r="87" spans="1:19" x14ac:dyDescent="0.25">
      <c r="A87" s="19">
        <v>46282</v>
      </c>
      <c r="B87" s="5" t="s">
        <v>294</v>
      </c>
      <c r="C87" s="5" t="s">
        <v>96</v>
      </c>
      <c r="D87" s="5" t="s">
        <v>295</v>
      </c>
      <c r="E87" s="5" t="s">
        <v>85</v>
      </c>
      <c r="F87" s="5" t="s">
        <v>86</v>
      </c>
      <c r="G87" s="5" t="s">
        <v>87</v>
      </c>
      <c r="H87" s="20">
        <v>0.61458333333333304</v>
      </c>
      <c r="I87" s="20">
        <v>0.61527777777777803</v>
      </c>
      <c r="J87" s="20">
        <v>0.61875000000000002</v>
      </c>
      <c r="K87" s="20"/>
      <c r="L87" s="20"/>
      <c r="M87" s="7" t="str">
        <f t="shared" si="8"/>
        <v/>
      </c>
      <c r="N87" s="5" t="s">
        <v>296</v>
      </c>
      <c r="O87" s="5"/>
      <c r="P87" s="6">
        <v>141</v>
      </c>
      <c r="Q87" s="21">
        <f t="shared" si="9"/>
        <v>4.9999999999996625</v>
      </c>
      <c r="R87" s="22">
        <f t="shared" si="10"/>
        <v>14</v>
      </c>
      <c r="S87" s="22" t="str">
        <f t="shared" si="11"/>
        <v>N</v>
      </c>
    </row>
    <row r="88" spans="1:19" x14ac:dyDescent="0.25">
      <c r="A88" s="15">
        <v>46282</v>
      </c>
      <c r="B88" s="9" t="s">
        <v>297</v>
      </c>
      <c r="C88" s="9" t="s">
        <v>221</v>
      </c>
      <c r="D88" s="9" t="s">
        <v>298</v>
      </c>
      <c r="E88" s="9" t="s">
        <v>91</v>
      </c>
      <c r="F88" s="9" t="s">
        <v>92</v>
      </c>
      <c r="G88" s="9" t="s">
        <v>93</v>
      </c>
      <c r="H88" s="16">
        <v>0.60624999999999996</v>
      </c>
      <c r="I88" s="16">
        <v>0.60624999999999996</v>
      </c>
      <c r="J88" s="16"/>
      <c r="K88" s="16"/>
      <c r="L88" s="16"/>
      <c r="M88" s="11" t="str">
        <f t="shared" si="8"/>
        <v/>
      </c>
      <c r="N88" s="9" t="s">
        <v>299</v>
      </c>
      <c r="O88" s="9"/>
      <c r="P88" s="10">
        <v>467</v>
      </c>
      <c r="Q88" s="17" t="str">
        <f t="shared" si="9"/>
        <v/>
      </c>
      <c r="R88" s="18">
        <f t="shared" si="10"/>
        <v>14</v>
      </c>
      <c r="S88" s="18" t="str">
        <f t="shared" si="11"/>
        <v>N</v>
      </c>
    </row>
    <row r="89" spans="1:19" x14ac:dyDescent="0.25">
      <c r="A89" s="19">
        <v>46282</v>
      </c>
      <c r="B89" s="5" t="s">
        <v>300</v>
      </c>
      <c r="C89" s="5" t="s">
        <v>64</v>
      </c>
      <c r="D89" s="5" t="s">
        <v>301</v>
      </c>
      <c r="E89" s="5" t="s">
        <v>98</v>
      </c>
      <c r="F89" s="5" t="s">
        <v>99</v>
      </c>
      <c r="G89" s="5" t="s">
        <v>100</v>
      </c>
      <c r="H89" s="20">
        <v>0.82777777777777795</v>
      </c>
      <c r="I89" s="20">
        <v>0.82777777777777795</v>
      </c>
      <c r="J89" s="20"/>
      <c r="K89" s="20"/>
      <c r="L89" s="20"/>
      <c r="M89" s="7" t="str">
        <f t="shared" si="8"/>
        <v/>
      </c>
      <c r="N89" s="5" t="s">
        <v>299</v>
      </c>
      <c r="O89" s="5"/>
      <c r="P89" s="6">
        <v>382</v>
      </c>
      <c r="Q89" s="21" t="str">
        <f t="shared" si="9"/>
        <v/>
      </c>
      <c r="R89" s="22">
        <f t="shared" si="10"/>
        <v>19</v>
      </c>
      <c r="S89" s="22" t="str">
        <f t="shared" si="11"/>
        <v>N</v>
      </c>
    </row>
    <row r="90" spans="1:19" x14ac:dyDescent="0.25">
      <c r="A90" s="15">
        <v>46282</v>
      </c>
      <c r="B90" s="9" t="s">
        <v>302</v>
      </c>
      <c r="C90" s="9" t="s">
        <v>221</v>
      </c>
      <c r="D90" s="9" t="s">
        <v>303</v>
      </c>
      <c r="E90" s="9" t="s">
        <v>104</v>
      </c>
      <c r="F90" s="9" t="s">
        <v>105</v>
      </c>
      <c r="G90" s="9" t="s">
        <v>106</v>
      </c>
      <c r="H90" s="16">
        <v>0.79097222222222197</v>
      </c>
      <c r="I90" s="16">
        <v>0.79166666666666696</v>
      </c>
      <c r="J90" s="16">
        <v>0.79791666666666705</v>
      </c>
      <c r="K90" s="16">
        <v>0.79930555555555605</v>
      </c>
      <c r="L90" s="16"/>
      <c r="M90" s="11" t="str">
        <f t="shared" si="8"/>
        <v/>
      </c>
      <c r="N90" s="9" t="s">
        <v>304</v>
      </c>
      <c r="O90" s="9"/>
      <c r="P90" s="10">
        <v>274</v>
      </c>
      <c r="Q90" s="17">
        <f t="shared" si="9"/>
        <v>9.0000000000001279</v>
      </c>
      <c r="R90" s="18">
        <f t="shared" si="10"/>
        <v>18</v>
      </c>
      <c r="S90" s="18" t="str">
        <f t="shared" si="11"/>
        <v>N</v>
      </c>
    </row>
    <row r="91" spans="1:19" x14ac:dyDescent="0.25">
      <c r="A91" s="19">
        <v>46282</v>
      </c>
      <c r="B91" s="5" t="s">
        <v>305</v>
      </c>
      <c r="C91" s="5" t="s">
        <v>174</v>
      </c>
      <c r="D91" s="5" t="s">
        <v>306</v>
      </c>
      <c r="E91" s="5" t="s">
        <v>111</v>
      </c>
      <c r="F91" s="5" t="s">
        <v>112</v>
      </c>
      <c r="G91" s="5" t="s">
        <v>113</v>
      </c>
      <c r="H91" s="20">
        <v>0.52013888888888904</v>
      </c>
      <c r="I91" s="20"/>
      <c r="J91" s="20"/>
      <c r="K91" s="20"/>
      <c r="L91" s="20"/>
      <c r="M91" s="7" t="str">
        <f t="shared" si="8"/>
        <v/>
      </c>
      <c r="N91" s="5" t="s">
        <v>293</v>
      </c>
      <c r="O91" s="5"/>
      <c r="P91" s="6">
        <v>413</v>
      </c>
      <c r="Q91" s="21" t="str">
        <f t="shared" si="9"/>
        <v/>
      </c>
      <c r="R91" s="22">
        <f t="shared" si="10"/>
        <v>12</v>
      </c>
      <c r="S91" s="22" t="str">
        <f t="shared" si="11"/>
        <v>N</v>
      </c>
    </row>
    <row r="92" spans="1:19" x14ac:dyDescent="0.25">
      <c r="A92" s="15">
        <v>46282</v>
      </c>
      <c r="B92" s="9" t="s">
        <v>307</v>
      </c>
      <c r="C92" s="9" t="s">
        <v>50</v>
      </c>
      <c r="D92" s="9" t="s">
        <v>308</v>
      </c>
      <c r="E92" s="9" t="s">
        <v>52</v>
      </c>
      <c r="F92" s="9" t="s">
        <v>53</v>
      </c>
      <c r="G92" s="9" t="s">
        <v>54</v>
      </c>
      <c r="H92" s="16">
        <v>0.66527777777777797</v>
      </c>
      <c r="I92" s="16">
        <v>0.66527777777777797</v>
      </c>
      <c r="J92" s="16"/>
      <c r="K92" s="16"/>
      <c r="L92" s="16"/>
      <c r="M92" s="11" t="str">
        <f t="shared" si="8"/>
        <v/>
      </c>
      <c r="N92" s="9" t="s">
        <v>299</v>
      </c>
      <c r="O92" s="9"/>
      <c r="P92" s="10">
        <v>633</v>
      </c>
      <c r="Q92" s="17" t="str">
        <f t="shared" si="9"/>
        <v/>
      </c>
      <c r="R92" s="18">
        <f t="shared" si="10"/>
        <v>15</v>
      </c>
      <c r="S92" s="18" t="str">
        <f t="shared" si="11"/>
        <v>N</v>
      </c>
    </row>
    <row r="93" spans="1:19" x14ac:dyDescent="0.25">
      <c r="A93" s="19">
        <v>46282</v>
      </c>
      <c r="B93" s="5" t="s">
        <v>309</v>
      </c>
      <c r="C93" s="5" t="s">
        <v>256</v>
      </c>
      <c r="D93" s="5" t="s">
        <v>310</v>
      </c>
      <c r="E93" s="5" t="s">
        <v>59</v>
      </c>
      <c r="F93" s="5" t="s">
        <v>60</v>
      </c>
      <c r="G93" s="5" t="s">
        <v>61</v>
      </c>
      <c r="H93" s="20">
        <v>0.64791666666666703</v>
      </c>
      <c r="I93" s="20">
        <v>0.64791666666666703</v>
      </c>
      <c r="J93" s="20">
        <v>0.65138888888888902</v>
      </c>
      <c r="K93" s="20">
        <v>0.65208333333333302</v>
      </c>
      <c r="L93" s="20"/>
      <c r="M93" s="7" t="str">
        <f t="shared" si="8"/>
        <v/>
      </c>
      <c r="N93" s="5" t="s">
        <v>304</v>
      </c>
      <c r="O93" s="5"/>
      <c r="P93" s="6">
        <v>516</v>
      </c>
      <c r="Q93" s="21">
        <f t="shared" si="9"/>
        <v>4.9999999999996625</v>
      </c>
      <c r="R93" s="22">
        <f t="shared" si="10"/>
        <v>15</v>
      </c>
      <c r="S93" s="22" t="str">
        <f t="shared" si="11"/>
        <v>N</v>
      </c>
    </row>
  </sheetData>
  <autoFilter ref="A3:S93" xr:uid="{00000000-0009-0000-0000-000001000000}"/>
  <mergeCells count="2">
    <mergeCell ref="A1:S1"/>
    <mergeCell ref="A2:S2"/>
  </mergeCells>
  <conditionalFormatting sqref="M4:M9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:N93">
    <cfRule type="expression" dxfId="15" priority="2">
      <formula>N4="Delivered"</formula>
    </cfRule>
    <cfRule type="expression" dxfId="14" priority="3">
      <formula>N4="Cancelled"</formula>
    </cfRule>
    <cfRule type="expression" dxfId="13" priority="4">
      <formula>OR(N4="Pending",N4="Preparing",N4="Ready",N4="Picked Up")</formula>
    </cfRule>
  </conditionalFormatting>
  <conditionalFormatting sqref="S4:S93">
    <cfRule type="expression" dxfId="12" priority="6">
      <formula>S4="Y"</formula>
    </cfRule>
  </conditionalFormatting>
  <dataValidations count="3">
    <dataValidation type="list" allowBlank="1" sqref="N4:N93" xr:uid="{00000000-0002-0000-0100-000000000000}">
      <formula1>"Pending,Preparing,Ready,Picked Up,Delivered,Cancelled"</formula1>
      <formula2>0</formula2>
    </dataValidation>
    <dataValidation type="list" allowBlank="1" sqref="E4:E93" xr:uid="{00000000-0002-0000-0100-000001000000}">
      <formula1>"Koramangala,HSR Layout,Indiranagar,Whitefield,Electronic City,Marathahalli,JP Nagar,BTM Layout,Bellandur,Sarjapur"</formula1>
      <formula2>0</formula2>
    </dataValidation>
    <dataValidation type="list" allowBlank="1" sqref="F4:F93" xr:uid="{00000000-0002-0000-0100-000002000000}">
      <formula1>"Swish Kitchen - Koramangala,Swish Kitchen - HSR Layout,Swish Kitchen - Indiranagar,Swish Kitchen - Whitefield,Swish Kitchen - Electronic City,Swish Kitchen - Marathahalli,Swish Kitchen - JP Nagar,Swish Kitchen - BTM Layout,Swish Kitchen - Bellandur,Swish "</formula1>
      <formula2>0</formula2>
    </dataValidation>
  </dataValidations>
  <printOptions horizontalCentered="1"/>
  <pageMargins left="0.75" right="0.75" top="1" bottom="1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6600"/>
  </sheetPr>
  <dimension ref="A1:AF12"/>
  <sheetViews>
    <sheetView zoomScaleNormal="100" workbookViewId="0"/>
  </sheetViews>
  <sheetFormatPr defaultColWidth="8.7109375" defaultRowHeight="15" x14ac:dyDescent="0.25"/>
  <sheetData>
    <row r="1" spans="1:32" x14ac:dyDescent="0.25">
      <c r="A1" t="s">
        <v>22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 t="s">
        <v>311</v>
      </c>
      <c r="AA1" t="s">
        <v>312</v>
      </c>
      <c r="AB1" t="s">
        <v>313</v>
      </c>
      <c r="AC1" t="s">
        <v>314</v>
      </c>
      <c r="AD1" t="s">
        <v>315</v>
      </c>
      <c r="AE1" t="s">
        <v>316</v>
      </c>
      <c r="AF1" t="s">
        <v>317</v>
      </c>
    </row>
    <row r="2" spans="1:32" x14ac:dyDescent="0.25">
      <c r="A2" t="s">
        <v>53</v>
      </c>
      <c r="B2">
        <f>COUNTIFS('Daily Order Tracker'!$F$4:$F$93,$A2,'Daily Order Tracker'!$R$4:$R$93,0)</f>
        <v>0</v>
      </c>
      <c r="C2">
        <f>COUNTIFS('Daily Order Tracker'!$F$4:$F$93,$A2,'Daily Order Tracker'!$R$4:$R$93,1)</f>
        <v>0</v>
      </c>
      <c r="D2">
        <f>COUNTIFS('Daily Order Tracker'!$F$4:$F$93,$A2,'Daily Order Tracker'!$R$4:$R$93,2)</f>
        <v>0</v>
      </c>
      <c r="E2">
        <f>COUNTIFS('Daily Order Tracker'!$F$4:$F$93,$A2,'Daily Order Tracker'!$R$4:$R$93,3)</f>
        <v>0</v>
      </c>
      <c r="F2">
        <f>COUNTIFS('Daily Order Tracker'!$F$4:$F$93,$A2,'Daily Order Tracker'!$R$4:$R$93,4)</f>
        <v>0</v>
      </c>
      <c r="G2">
        <f>COUNTIFS('Daily Order Tracker'!$F$4:$F$93,$A2,'Daily Order Tracker'!$R$4:$R$93,5)</f>
        <v>0</v>
      </c>
      <c r="H2">
        <f>COUNTIFS('Daily Order Tracker'!$F$4:$F$93,$A2,'Daily Order Tracker'!$R$4:$R$93,6)</f>
        <v>0</v>
      </c>
      <c r="I2">
        <f>COUNTIFS('Daily Order Tracker'!$F$4:$F$93,$A2,'Daily Order Tracker'!$R$4:$R$93,7)</f>
        <v>0</v>
      </c>
      <c r="J2">
        <f>COUNTIFS('Daily Order Tracker'!$F$4:$F$93,$A2,'Daily Order Tracker'!$R$4:$R$93,8)</f>
        <v>0</v>
      </c>
      <c r="K2">
        <f>COUNTIFS('Daily Order Tracker'!$F$4:$F$93,$A2,'Daily Order Tracker'!$R$4:$R$93,9)</f>
        <v>1</v>
      </c>
      <c r="L2">
        <f>COUNTIFS('Daily Order Tracker'!$F$4:$F$93,$A2,'Daily Order Tracker'!$R$4:$R$93,10)</f>
        <v>0</v>
      </c>
      <c r="M2">
        <f>COUNTIFS('Daily Order Tracker'!$F$4:$F$93,$A2,'Daily Order Tracker'!$R$4:$R$93,11)</f>
        <v>1</v>
      </c>
      <c r="N2">
        <f>COUNTIFS('Daily Order Tracker'!$F$4:$F$93,$A2,'Daily Order Tracker'!$R$4:$R$93,12)</f>
        <v>0</v>
      </c>
      <c r="O2">
        <f>COUNTIFS('Daily Order Tracker'!$F$4:$F$93,$A2,'Daily Order Tracker'!$R$4:$R$93,13)</f>
        <v>0</v>
      </c>
      <c r="P2">
        <f>COUNTIFS('Daily Order Tracker'!$F$4:$F$93,$A2,'Daily Order Tracker'!$R$4:$R$93,14)</f>
        <v>0</v>
      </c>
      <c r="Q2">
        <f>COUNTIFS('Daily Order Tracker'!$F$4:$F$93,$A2,'Daily Order Tracker'!$R$4:$R$93,15)</f>
        <v>2</v>
      </c>
      <c r="R2">
        <f>COUNTIFS('Daily Order Tracker'!$F$4:$F$93,$A2,'Daily Order Tracker'!$R$4:$R$93,16)</f>
        <v>0</v>
      </c>
      <c r="S2">
        <f>COUNTIFS('Daily Order Tracker'!$F$4:$F$93,$A2,'Daily Order Tracker'!$R$4:$R$93,17)</f>
        <v>2</v>
      </c>
      <c r="T2">
        <f>COUNTIFS('Daily Order Tracker'!$F$4:$F$93,$A2,'Daily Order Tracker'!$R$4:$R$93,18)</f>
        <v>1</v>
      </c>
      <c r="U2">
        <f>COUNTIFS('Daily Order Tracker'!$F$4:$F$93,$A2,'Daily Order Tracker'!$R$4:$R$93,19)</f>
        <v>0</v>
      </c>
      <c r="V2">
        <f>COUNTIFS('Daily Order Tracker'!$F$4:$F$93,$A2,'Daily Order Tracker'!$R$4:$R$93,20)</f>
        <v>0</v>
      </c>
      <c r="W2">
        <f>COUNTIFS('Daily Order Tracker'!$F$4:$F$93,$A2,'Daily Order Tracker'!$R$4:$R$93,21)</f>
        <v>2</v>
      </c>
      <c r="X2">
        <f>COUNTIFS('Daily Order Tracker'!$F$4:$F$93,$A2,'Daily Order Tracker'!$R$4:$R$93,22)</f>
        <v>0</v>
      </c>
      <c r="Y2">
        <f>COUNTIFS('Daily Order Tracker'!$F$4:$F$93,$A2,'Daily Order Tracker'!$R$4:$R$93,23)</f>
        <v>0</v>
      </c>
      <c r="Z2">
        <f t="shared" ref="Z2:Z11" si="0">MAX(B2:Y2)</f>
        <v>2</v>
      </c>
      <c r="AA2">
        <f t="shared" ref="AA2:AA11" si="1">SUM(B2:E2)</f>
        <v>0</v>
      </c>
      <c r="AB2">
        <f t="shared" ref="AB2:AB11" si="2">SUM(F2:I2)</f>
        <v>0</v>
      </c>
      <c r="AC2">
        <f t="shared" ref="AC2:AC11" si="3">SUM(J2:M2)</f>
        <v>2</v>
      </c>
      <c r="AD2">
        <f t="shared" ref="AD2:AD11" si="4">SUM(N2:Q2)</f>
        <v>2</v>
      </c>
      <c r="AE2">
        <f t="shared" ref="AE2:AE11" si="5">SUM(R2:U2)</f>
        <v>3</v>
      </c>
      <c r="AF2">
        <f t="shared" ref="AF2:AF11" si="6">SUM(V2:Y2)</f>
        <v>2</v>
      </c>
    </row>
    <row r="3" spans="1:32" x14ac:dyDescent="0.25">
      <c r="A3" t="s">
        <v>60</v>
      </c>
      <c r="B3">
        <f>COUNTIFS('Daily Order Tracker'!$F$4:$F$93,$A3,'Daily Order Tracker'!$R$4:$R$93,0)</f>
        <v>0</v>
      </c>
      <c r="C3">
        <f>COUNTIFS('Daily Order Tracker'!$F$4:$F$93,$A3,'Daily Order Tracker'!$R$4:$R$93,1)</f>
        <v>0</v>
      </c>
      <c r="D3">
        <f>COUNTIFS('Daily Order Tracker'!$F$4:$F$93,$A3,'Daily Order Tracker'!$R$4:$R$93,2)</f>
        <v>0</v>
      </c>
      <c r="E3">
        <f>COUNTIFS('Daily Order Tracker'!$F$4:$F$93,$A3,'Daily Order Tracker'!$R$4:$R$93,3)</f>
        <v>0</v>
      </c>
      <c r="F3">
        <f>COUNTIFS('Daily Order Tracker'!$F$4:$F$93,$A3,'Daily Order Tracker'!$R$4:$R$93,4)</f>
        <v>0</v>
      </c>
      <c r="G3">
        <f>COUNTIFS('Daily Order Tracker'!$F$4:$F$93,$A3,'Daily Order Tracker'!$R$4:$R$93,5)</f>
        <v>0</v>
      </c>
      <c r="H3">
        <f>COUNTIFS('Daily Order Tracker'!$F$4:$F$93,$A3,'Daily Order Tracker'!$R$4:$R$93,6)</f>
        <v>0</v>
      </c>
      <c r="I3">
        <f>COUNTIFS('Daily Order Tracker'!$F$4:$F$93,$A3,'Daily Order Tracker'!$R$4:$R$93,7)</f>
        <v>0</v>
      </c>
      <c r="J3">
        <f>COUNTIFS('Daily Order Tracker'!$F$4:$F$93,$A3,'Daily Order Tracker'!$R$4:$R$93,8)</f>
        <v>2</v>
      </c>
      <c r="K3">
        <f>COUNTIFS('Daily Order Tracker'!$F$4:$F$93,$A3,'Daily Order Tracker'!$R$4:$R$93,9)</f>
        <v>1</v>
      </c>
      <c r="L3">
        <f>COUNTIFS('Daily Order Tracker'!$F$4:$F$93,$A3,'Daily Order Tracker'!$R$4:$R$93,10)</f>
        <v>0</v>
      </c>
      <c r="M3">
        <f>COUNTIFS('Daily Order Tracker'!$F$4:$F$93,$A3,'Daily Order Tracker'!$R$4:$R$93,11)</f>
        <v>0</v>
      </c>
      <c r="N3">
        <f>COUNTIFS('Daily Order Tracker'!$F$4:$F$93,$A3,'Daily Order Tracker'!$R$4:$R$93,12)</f>
        <v>0</v>
      </c>
      <c r="O3">
        <f>COUNTIFS('Daily Order Tracker'!$F$4:$F$93,$A3,'Daily Order Tracker'!$R$4:$R$93,13)</f>
        <v>0</v>
      </c>
      <c r="P3">
        <f>COUNTIFS('Daily Order Tracker'!$F$4:$F$93,$A3,'Daily Order Tracker'!$R$4:$R$93,14)</f>
        <v>0</v>
      </c>
      <c r="Q3">
        <f>COUNTIFS('Daily Order Tracker'!$F$4:$F$93,$A3,'Daily Order Tracker'!$R$4:$R$93,15)</f>
        <v>2</v>
      </c>
      <c r="R3">
        <f>COUNTIFS('Daily Order Tracker'!$F$4:$F$93,$A3,'Daily Order Tracker'!$R$4:$R$93,16)</f>
        <v>1</v>
      </c>
      <c r="S3">
        <f>COUNTIFS('Daily Order Tracker'!$F$4:$F$93,$A3,'Daily Order Tracker'!$R$4:$R$93,17)</f>
        <v>0</v>
      </c>
      <c r="T3">
        <f>COUNTIFS('Daily Order Tracker'!$F$4:$F$93,$A3,'Daily Order Tracker'!$R$4:$R$93,18)</f>
        <v>0</v>
      </c>
      <c r="U3">
        <f>COUNTIFS('Daily Order Tracker'!$F$4:$F$93,$A3,'Daily Order Tracker'!$R$4:$R$93,19)</f>
        <v>1</v>
      </c>
      <c r="V3">
        <f>COUNTIFS('Daily Order Tracker'!$F$4:$F$93,$A3,'Daily Order Tracker'!$R$4:$R$93,20)</f>
        <v>1</v>
      </c>
      <c r="W3">
        <f>COUNTIFS('Daily Order Tracker'!$F$4:$F$93,$A3,'Daily Order Tracker'!$R$4:$R$93,21)</f>
        <v>1</v>
      </c>
      <c r="X3">
        <f>COUNTIFS('Daily Order Tracker'!$F$4:$F$93,$A3,'Daily Order Tracker'!$R$4:$R$93,22)</f>
        <v>0</v>
      </c>
      <c r="Y3">
        <f>COUNTIFS('Daily Order Tracker'!$F$4:$F$93,$A3,'Daily Order Tracker'!$R$4:$R$93,23)</f>
        <v>0</v>
      </c>
      <c r="Z3">
        <f t="shared" si="0"/>
        <v>2</v>
      </c>
      <c r="AA3">
        <f t="shared" si="1"/>
        <v>0</v>
      </c>
      <c r="AB3">
        <f t="shared" si="2"/>
        <v>0</v>
      </c>
      <c r="AC3">
        <f t="shared" si="3"/>
        <v>3</v>
      </c>
      <c r="AD3">
        <f t="shared" si="4"/>
        <v>2</v>
      </c>
      <c r="AE3">
        <f t="shared" si="5"/>
        <v>2</v>
      </c>
      <c r="AF3">
        <f t="shared" si="6"/>
        <v>2</v>
      </c>
    </row>
    <row r="4" spans="1:32" x14ac:dyDescent="0.25">
      <c r="A4" t="s">
        <v>67</v>
      </c>
      <c r="B4">
        <f>COUNTIFS('Daily Order Tracker'!$F$4:$F$93,$A4,'Daily Order Tracker'!$R$4:$R$93,0)</f>
        <v>0</v>
      </c>
      <c r="C4">
        <f>COUNTIFS('Daily Order Tracker'!$F$4:$F$93,$A4,'Daily Order Tracker'!$R$4:$R$93,1)</f>
        <v>0</v>
      </c>
      <c r="D4">
        <f>COUNTIFS('Daily Order Tracker'!$F$4:$F$93,$A4,'Daily Order Tracker'!$R$4:$R$93,2)</f>
        <v>0</v>
      </c>
      <c r="E4">
        <f>COUNTIFS('Daily Order Tracker'!$F$4:$F$93,$A4,'Daily Order Tracker'!$R$4:$R$93,3)</f>
        <v>0</v>
      </c>
      <c r="F4">
        <f>COUNTIFS('Daily Order Tracker'!$F$4:$F$93,$A4,'Daily Order Tracker'!$R$4:$R$93,4)</f>
        <v>0</v>
      </c>
      <c r="G4">
        <f>COUNTIFS('Daily Order Tracker'!$F$4:$F$93,$A4,'Daily Order Tracker'!$R$4:$R$93,5)</f>
        <v>0</v>
      </c>
      <c r="H4">
        <f>COUNTIFS('Daily Order Tracker'!$F$4:$F$93,$A4,'Daily Order Tracker'!$R$4:$R$93,6)</f>
        <v>0</v>
      </c>
      <c r="I4">
        <f>COUNTIFS('Daily Order Tracker'!$F$4:$F$93,$A4,'Daily Order Tracker'!$R$4:$R$93,7)</f>
        <v>0</v>
      </c>
      <c r="J4">
        <f>COUNTIFS('Daily Order Tracker'!$F$4:$F$93,$A4,'Daily Order Tracker'!$R$4:$R$93,8)</f>
        <v>1</v>
      </c>
      <c r="K4">
        <f>COUNTIFS('Daily Order Tracker'!$F$4:$F$93,$A4,'Daily Order Tracker'!$R$4:$R$93,9)</f>
        <v>0</v>
      </c>
      <c r="L4">
        <f>COUNTIFS('Daily Order Tracker'!$F$4:$F$93,$A4,'Daily Order Tracker'!$R$4:$R$93,10)</f>
        <v>1</v>
      </c>
      <c r="M4">
        <f>COUNTIFS('Daily Order Tracker'!$F$4:$F$93,$A4,'Daily Order Tracker'!$R$4:$R$93,11)</f>
        <v>0</v>
      </c>
      <c r="N4">
        <f>COUNTIFS('Daily Order Tracker'!$F$4:$F$93,$A4,'Daily Order Tracker'!$R$4:$R$93,12)</f>
        <v>1</v>
      </c>
      <c r="O4">
        <f>COUNTIFS('Daily Order Tracker'!$F$4:$F$93,$A4,'Daily Order Tracker'!$R$4:$R$93,13)</f>
        <v>0</v>
      </c>
      <c r="P4">
        <f>COUNTIFS('Daily Order Tracker'!$F$4:$F$93,$A4,'Daily Order Tracker'!$R$4:$R$93,14)</f>
        <v>0</v>
      </c>
      <c r="Q4">
        <f>COUNTIFS('Daily Order Tracker'!$F$4:$F$93,$A4,'Daily Order Tracker'!$R$4:$R$93,15)</f>
        <v>0</v>
      </c>
      <c r="R4">
        <f>COUNTIFS('Daily Order Tracker'!$F$4:$F$93,$A4,'Daily Order Tracker'!$R$4:$R$93,16)</f>
        <v>0</v>
      </c>
      <c r="S4">
        <f>COUNTIFS('Daily Order Tracker'!$F$4:$F$93,$A4,'Daily Order Tracker'!$R$4:$R$93,17)</f>
        <v>0</v>
      </c>
      <c r="T4">
        <f>COUNTIFS('Daily Order Tracker'!$F$4:$F$93,$A4,'Daily Order Tracker'!$R$4:$R$93,18)</f>
        <v>3</v>
      </c>
      <c r="U4">
        <f>COUNTIFS('Daily Order Tracker'!$F$4:$F$93,$A4,'Daily Order Tracker'!$R$4:$R$93,19)</f>
        <v>3</v>
      </c>
      <c r="V4">
        <f>COUNTIFS('Daily Order Tracker'!$F$4:$F$93,$A4,'Daily Order Tracker'!$R$4:$R$93,20)</f>
        <v>0</v>
      </c>
      <c r="W4">
        <f>COUNTIFS('Daily Order Tracker'!$F$4:$F$93,$A4,'Daily Order Tracker'!$R$4:$R$93,21)</f>
        <v>0</v>
      </c>
      <c r="X4">
        <f>COUNTIFS('Daily Order Tracker'!$F$4:$F$93,$A4,'Daily Order Tracker'!$R$4:$R$93,22)</f>
        <v>0</v>
      </c>
      <c r="Y4">
        <f>COUNTIFS('Daily Order Tracker'!$F$4:$F$93,$A4,'Daily Order Tracker'!$R$4:$R$93,23)</f>
        <v>0</v>
      </c>
      <c r="Z4">
        <f t="shared" si="0"/>
        <v>3</v>
      </c>
      <c r="AA4">
        <f t="shared" si="1"/>
        <v>0</v>
      </c>
      <c r="AB4">
        <f t="shared" si="2"/>
        <v>0</v>
      </c>
      <c r="AC4">
        <f t="shared" si="3"/>
        <v>2</v>
      </c>
      <c r="AD4">
        <f t="shared" si="4"/>
        <v>1</v>
      </c>
      <c r="AE4">
        <f t="shared" si="5"/>
        <v>6</v>
      </c>
      <c r="AF4">
        <f t="shared" si="6"/>
        <v>0</v>
      </c>
    </row>
    <row r="5" spans="1:32" x14ac:dyDescent="0.25">
      <c r="A5" t="s">
        <v>74</v>
      </c>
      <c r="B5">
        <f>COUNTIFS('Daily Order Tracker'!$F$4:$F$93,$A5,'Daily Order Tracker'!$R$4:$R$93,0)</f>
        <v>0</v>
      </c>
      <c r="C5">
        <f>COUNTIFS('Daily Order Tracker'!$F$4:$F$93,$A5,'Daily Order Tracker'!$R$4:$R$93,1)</f>
        <v>0</v>
      </c>
      <c r="D5">
        <f>COUNTIFS('Daily Order Tracker'!$F$4:$F$93,$A5,'Daily Order Tracker'!$R$4:$R$93,2)</f>
        <v>0</v>
      </c>
      <c r="E5">
        <f>COUNTIFS('Daily Order Tracker'!$F$4:$F$93,$A5,'Daily Order Tracker'!$R$4:$R$93,3)</f>
        <v>0</v>
      </c>
      <c r="F5">
        <f>COUNTIFS('Daily Order Tracker'!$F$4:$F$93,$A5,'Daily Order Tracker'!$R$4:$R$93,4)</f>
        <v>0</v>
      </c>
      <c r="G5">
        <f>COUNTIFS('Daily Order Tracker'!$F$4:$F$93,$A5,'Daily Order Tracker'!$R$4:$R$93,5)</f>
        <v>0</v>
      </c>
      <c r="H5">
        <f>COUNTIFS('Daily Order Tracker'!$F$4:$F$93,$A5,'Daily Order Tracker'!$R$4:$R$93,6)</f>
        <v>0</v>
      </c>
      <c r="I5">
        <f>COUNTIFS('Daily Order Tracker'!$F$4:$F$93,$A5,'Daily Order Tracker'!$R$4:$R$93,7)</f>
        <v>0</v>
      </c>
      <c r="J5">
        <f>COUNTIFS('Daily Order Tracker'!$F$4:$F$93,$A5,'Daily Order Tracker'!$R$4:$R$93,8)</f>
        <v>0</v>
      </c>
      <c r="K5">
        <f>COUNTIFS('Daily Order Tracker'!$F$4:$F$93,$A5,'Daily Order Tracker'!$R$4:$R$93,9)</f>
        <v>1</v>
      </c>
      <c r="L5">
        <f>COUNTIFS('Daily Order Tracker'!$F$4:$F$93,$A5,'Daily Order Tracker'!$R$4:$R$93,10)</f>
        <v>2</v>
      </c>
      <c r="M5">
        <f>COUNTIFS('Daily Order Tracker'!$F$4:$F$93,$A5,'Daily Order Tracker'!$R$4:$R$93,11)</f>
        <v>1</v>
      </c>
      <c r="N5">
        <f>COUNTIFS('Daily Order Tracker'!$F$4:$F$93,$A5,'Daily Order Tracker'!$R$4:$R$93,12)</f>
        <v>0</v>
      </c>
      <c r="O5">
        <f>COUNTIFS('Daily Order Tracker'!$F$4:$F$93,$A5,'Daily Order Tracker'!$R$4:$R$93,13)</f>
        <v>1</v>
      </c>
      <c r="P5">
        <f>COUNTIFS('Daily Order Tracker'!$F$4:$F$93,$A5,'Daily Order Tracker'!$R$4:$R$93,14)</f>
        <v>0</v>
      </c>
      <c r="Q5">
        <f>COUNTIFS('Daily Order Tracker'!$F$4:$F$93,$A5,'Daily Order Tracker'!$R$4:$R$93,15)</f>
        <v>1</v>
      </c>
      <c r="R5">
        <f>COUNTIFS('Daily Order Tracker'!$F$4:$F$93,$A5,'Daily Order Tracker'!$R$4:$R$93,16)</f>
        <v>1</v>
      </c>
      <c r="S5">
        <f>COUNTIFS('Daily Order Tracker'!$F$4:$F$93,$A5,'Daily Order Tracker'!$R$4:$R$93,17)</f>
        <v>0</v>
      </c>
      <c r="T5">
        <f>COUNTIFS('Daily Order Tracker'!$F$4:$F$93,$A5,'Daily Order Tracker'!$R$4:$R$93,18)</f>
        <v>1</v>
      </c>
      <c r="U5">
        <f>COUNTIFS('Daily Order Tracker'!$F$4:$F$93,$A5,'Daily Order Tracker'!$R$4:$R$93,19)</f>
        <v>0</v>
      </c>
      <c r="V5">
        <f>COUNTIFS('Daily Order Tracker'!$F$4:$F$93,$A5,'Daily Order Tracker'!$R$4:$R$93,20)</f>
        <v>0</v>
      </c>
      <c r="W5">
        <f>COUNTIFS('Daily Order Tracker'!$F$4:$F$93,$A5,'Daily Order Tracker'!$R$4:$R$93,21)</f>
        <v>1</v>
      </c>
      <c r="X5">
        <f>COUNTIFS('Daily Order Tracker'!$F$4:$F$93,$A5,'Daily Order Tracker'!$R$4:$R$93,22)</f>
        <v>0</v>
      </c>
      <c r="Y5">
        <f>COUNTIFS('Daily Order Tracker'!$F$4:$F$93,$A5,'Daily Order Tracker'!$R$4:$R$93,23)</f>
        <v>0</v>
      </c>
      <c r="Z5">
        <f t="shared" si="0"/>
        <v>2</v>
      </c>
      <c r="AA5">
        <f t="shared" si="1"/>
        <v>0</v>
      </c>
      <c r="AB5">
        <f t="shared" si="2"/>
        <v>0</v>
      </c>
      <c r="AC5">
        <f t="shared" si="3"/>
        <v>4</v>
      </c>
      <c r="AD5">
        <f t="shared" si="4"/>
        <v>2</v>
      </c>
      <c r="AE5">
        <f t="shared" si="5"/>
        <v>2</v>
      </c>
      <c r="AF5">
        <f t="shared" si="6"/>
        <v>1</v>
      </c>
    </row>
    <row r="6" spans="1:32" x14ac:dyDescent="0.25">
      <c r="A6" t="s">
        <v>81</v>
      </c>
      <c r="B6">
        <f>COUNTIFS('Daily Order Tracker'!$F$4:$F$93,$A6,'Daily Order Tracker'!$R$4:$R$93,0)</f>
        <v>0</v>
      </c>
      <c r="C6">
        <f>COUNTIFS('Daily Order Tracker'!$F$4:$F$93,$A6,'Daily Order Tracker'!$R$4:$R$93,1)</f>
        <v>0</v>
      </c>
      <c r="D6">
        <f>COUNTIFS('Daily Order Tracker'!$F$4:$F$93,$A6,'Daily Order Tracker'!$R$4:$R$93,2)</f>
        <v>0</v>
      </c>
      <c r="E6">
        <f>COUNTIFS('Daily Order Tracker'!$F$4:$F$93,$A6,'Daily Order Tracker'!$R$4:$R$93,3)</f>
        <v>0</v>
      </c>
      <c r="F6">
        <f>COUNTIFS('Daily Order Tracker'!$F$4:$F$93,$A6,'Daily Order Tracker'!$R$4:$R$93,4)</f>
        <v>0</v>
      </c>
      <c r="G6">
        <f>COUNTIFS('Daily Order Tracker'!$F$4:$F$93,$A6,'Daily Order Tracker'!$R$4:$R$93,5)</f>
        <v>0</v>
      </c>
      <c r="H6">
        <f>COUNTIFS('Daily Order Tracker'!$F$4:$F$93,$A6,'Daily Order Tracker'!$R$4:$R$93,6)</f>
        <v>0</v>
      </c>
      <c r="I6">
        <f>COUNTIFS('Daily Order Tracker'!$F$4:$F$93,$A6,'Daily Order Tracker'!$R$4:$R$93,7)</f>
        <v>0</v>
      </c>
      <c r="J6">
        <f>COUNTIFS('Daily Order Tracker'!$F$4:$F$93,$A6,'Daily Order Tracker'!$R$4:$R$93,8)</f>
        <v>0</v>
      </c>
      <c r="K6">
        <f>COUNTIFS('Daily Order Tracker'!$F$4:$F$93,$A6,'Daily Order Tracker'!$R$4:$R$93,9)</f>
        <v>2</v>
      </c>
      <c r="L6">
        <f>COUNTIFS('Daily Order Tracker'!$F$4:$F$93,$A6,'Daily Order Tracker'!$R$4:$R$93,10)</f>
        <v>1</v>
      </c>
      <c r="M6">
        <f>COUNTIFS('Daily Order Tracker'!$F$4:$F$93,$A6,'Daily Order Tracker'!$R$4:$R$93,11)</f>
        <v>1</v>
      </c>
      <c r="N6">
        <f>COUNTIFS('Daily Order Tracker'!$F$4:$F$93,$A6,'Daily Order Tracker'!$R$4:$R$93,12)</f>
        <v>1</v>
      </c>
      <c r="O6">
        <f>COUNTIFS('Daily Order Tracker'!$F$4:$F$93,$A6,'Daily Order Tracker'!$R$4:$R$93,13)</f>
        <v>1</v>
      </c>
      <c r="P6">
        <f>COUNTIFS('Daily Order Tracker'!$F$4:$F$93,$A6,'Daily Order Tracker'!$R$4:$R$93,14)</f>
        <v>0</v>
      </c>
      <c r="Q6">
        <f>COUNTIFS('Daily Order Tracker'!$F$4:$F$93,$A6,'Daily Order Tracker'!$R$4:$R$93,15)</f>
        <v>1</v>
      </c>
      <c r="R6">
        <f>COUNTIFS('Daily Order Tracker'!$F$4:$F$93,$A6,'Daily Order Tracker'!$R$4:$R$93,16)</f>
        <v>1</v>
      </c>
      <c r="S6">
        <f>COUNTIFS('Daily Order Tracker'!$F$4:$F$93,$A6,'Daily Order Tracker'!$R$4:$R$93,17)</f>
        <v>0</v>
      </c>
      <c r="T6">
        <f>COUNTIFS('Daily Order Tracker'!$F$4:$F$93,$A6,'Daily Order Tracker'!$R$4:$R$93,18)</f>
        <v>0</v>
      </c>
      <c r="U6">
        <f>COUNTIFS('Daily Order Tracker'!$F$4:$F$93,$A6,'Daily Order Tracker'!$R$4:$R$93,19)</f>
        <v>0</v>
      </c>
      <c r="V6">
        <f>COUNTIFS('Daily Order Tracker'!$F$4:$F$93,$A6,'Daily Order Tracker'!$R$4:$R$93,20)</f>
        <v>0</v>
      </c>
      <c r="W6">
        <f>COUNTIFS('Daily Order Tracker'!$F$4:$F$93,$A6,'Daily Order Tracker'!$R$4:$R$93,21)</f>
        <v>1</v>
      </c>
      <c r="X6">
        <f>COUNTIFS('Daily Order Tracker'!$F$4:$F$93,$A6,'Daily Order Tracker'!$R$4:$R$93,22)</f>
        <v>0</v>
      </c>
      <c r="Y6">
        <f>COUNTIFS('Daily Order Tracker'!$F$4:$F$93,$A6,'Daily Order Tracker'!$R$4:$R$93,23)</f>
        <v>0</v>
      </c>
      <c r="Z6">
        <f t="shared" si="0"/>
        <v>2</v>
      </c>
      <c r="AA6">
        <f t="shared" si="1"/>
        <v>0</v>
      </c>
      <c r="AB6">
        <f t="shared" si="2"/>
        <v>0</v>
      </c>
      <c r="AC6">
        <f t="shared" si="3"/>
        <v>4</v>
      </c>
      <c r="AD6">
        <f t="shared" si="4"/>
        <v>3</v>
      </c>
      <c r="AE6">
        <f t="shared" si="5"/>
        <v>1</v>
      </c>
      <c r="AF6">
        <f t="shared" si="6"/>
        <v>1</v>
      </c>
    </row>
    <row r="7" spans="1:32" x14ac:dyDescent="0.25">
      <c r="A7" t="s">
        <v>86</v>
      </c>
      <c r="B7">
        <f>COUNTIFS('Daily Order Tracker'!$F$4:$F$93,$A7,'Daily Order Tracker'!$R$4:$R$93,0)</f>
        <v>0</v>
      </c>
      <c r="C7">
        <f>COUNTIFS('Daily Order Tracker'!$F$4:$F$93,$A7,'Daily Order Tracker'!$R$4:$R$93,1)</f>
        <v>0</v>
      </c>
      <c r="D7">
        <f>COUNTIFS('Daily Order Tracker'!$F$4:$F$93,$A7,'Daily Order Tracker'!$R$4:$R$93,2)</f>
        <v>0</v>
      </c>
      <c r="E7">
        <f>COUNTIFS('Daily Order Tracker'!$F$4:$F$93,$A7,'Daily Order Tracker'!$R$4:$R$93,3)</f>
        <v>0</v>
      </c>
      <c r="F7">
        <f>COUNTIFS('Daily Order Tracker'!$F$4:$F$93,$A7,'Daily Order Tracker'!$R$4:$R$93,4)</f>
        <v>0</v>
      </c>
      <c r="G7">
        <f>COUNTIFS('Daily Order Tracker'!$F$4:$F$93,$A7,'Daily Order Tracker'!$R$4:$R$93,5)</f>
        <v>0</v>
      </c>
      <c r="H7">
        <f>COUNTIFS('Daily Order Tracker'!$F$4:$F$93,$A7,'Daily Order Tracker'!$R$4:$R$93,6)</f>
        <v>0</v>
      </c>
      <c r="I7">
        <f>COUNTIFS('Daily Order Tracker'!$F$4:$F$93,$A7,'Daily Order Tracker'!$R$4:$R$93,7)</f>
        <v>0</v>
      </c>
      <c r="J7">
        <f>COUNTIFS('Daily Order Tracker'!$F$4:$F$93,$A7,'Daily Order Tracker'!$R$4:$R$93,8)</f>
        <v>3</v>
      </c>
      <c r="K7">
        <f>COUNTIFS('Daily Order Tracker'!$F$4:$F$93,$A7,'Daily Order Tracker'!$R$4:$R$93,9)</f>
        <v>0</v>
      </c>
      <c r="L7">
        <f>COUNTIFS('Daily Order Tracker'!$F$4:$F$93,$A7,'Daily Order Tracker'!$R$4:$R$93,10)</f>
        <v>0</v>
      </c>
      <c r="M7">
        <f>COUNTIFS('Daily Order Tracker'!$F$4:$F$93,$A7,'Daily Order Tracker'!$R$4:$R$93,11)</f>
        <v>0</v>
      </c>
      <c r="N7">
        <f>COUNTIFS('Daily Order Tracker'!$F$4:$F$93,$A7,'Daily Order Tracker'!$R$4:$R$93,12)</f>
        <v>0</v>
      </c>
      <c r="O7">
        <f>COUNTIFS('Daily Order Tracker'!$F$4:$F$93,$A7,'Daily Order Tracker'!$R$4:$R$93,13)</f>
        <v>0</v>
      </c>
      <c r="P7">
        <f>COUNTIFS('Daily Order Tracker'!$F$4:$F$93,$A7,'Daily Order Tracker'!$R$4:$R$93,14)</f>
        <v>1</v>
      </c>
      <c r="Q7">
        <f>COUNTIFS('Daily Order Tracker'!$F$4:$F$93,$A7,'Daily Order Tracker'!$R$4:$R$93,15)</f>
        <v>0</v>
      </c>
      <c r="R7">
        <f>COUNTIFS('Daily Order Tracker'!$F$4:$F$93,$A7,'Daily Order Tracker'!$R$4:$R$93,16)</f>
        <v>2</v>
      </c>
      <c r="S7">
        <f>COUNTIFS('Daily Order Tracker'!$F$4:$F$93,$A7,'Daily Order Tracker'!$R$4:$R$93,17)</f>
        <v>1</v>
      </c>
      <c r="T7">
        <f>COUNTIFS('Daily Order Tracker'!$F$4:$F$93,$A7,'Daily Order Tracker'!$R$4:$R$93,18)</f>
        <v>1</v>
      </c>
      <c r="U7">
        <f>COUNTIFS('Daily Order Tracker'!$F$4:$F$93,$A7,'Daily Order Tracker'!$R$4:$R$93,19)</f>
        <v>0</v>
      </c>
      <c r="V7">
        <f>COUNTIFS('Daily Order Tracker'!$F$4:$F$93,$A7,'Daily Order Tracker'!$R$4:$R$93,20)</f>
        <v>0</v>
      </c>
      <c r="W7">
        <f>COUNTIFS('Daily Order Tracker'!$F$4:$F$93,$A7,'Daily Order Tracker'!$R$4:$R$93,21)</f>
        <v>1</v>
      </c>
      <c r="X7">
        <f>COUNTIFS('Daily Order Tracker'!$F$4:$F$93,$A7,'Daily Order Tracker'!$R$4:$R$93,22)</f>
        <v>0</v>
      </c>
      <c r="Y7">
        <f>COUNTIFS('Daily Order Tracker'!$F$4:$F$93,$A7,'Daily Order Tracker'!$R$4:$R$93,23)</f>
        <v>0</v>
      </c>
      <c r="Z7">
        <f t="shared" si="0"/>
        <v>3</v>
      </c>
      <c r="AA7">
        <f t="shared" si="1"/>
        <v>0</v>
      </c>
      <c r="AB7">
        <f t="shared" si="2"/>
        <v>0</v>
      </c>
      <c r="AC7">
        <f t="shared" si="3"/>
        <v>3</v>
      </c>
      <c r="AD7">
        <f t="shared" si="4"/>
        <v>1</v>
      </c>
      <c r="AE7">
        <f t="shared" si="5"/>
        <v>4</v>
      </c>
      <c r="AF7">
        <f t="shared" si="6"/>
        <v>1</v>
      </c>
    </row>
    <row r="8" spans="1:32" x14ac:dyDescent="0.25">
      <c r="A8" t="s">
        <v>92</v>
      </c>
      <c r="B8">
        <f>COUNTIFS('Daily Order Tracker'!$F$4:$F$93,$A8,'Daily Order Tracker'!$R$4:$R$93,0)</f>
        <v>0</v>
      </c>
      <c r="C8">
        <f>COUNTIFS('Daily Order Tracker'!$F$4:$F$93,$A8,'Daily Order Tracker'!$R$4:$R$93,1)</f>
        <v>0</v>
      </c>
      <c r="D8">
        <f>COUNTIFS('Daily Order Tracker'!$F$4:$F$93,$A8,'Daily Order Tracker'!$R$4:$R$93,2)</f>
        <v>0</v>
      </c>
      <c r="E8">
        <f>COUNTIFS('Daily Order Tracker'!$F$4:$F$93,$A8,'Daily Order Tracker'!$R$4:$R$93,3)</f>
        <v>0</v>
      </c>
      <c r="F8">
        <f>COUNTIFS('Daily Order Tracker'!$F$4:$F$93,$A8,'Daily Order Tracker'!$R$4:$R$93,4)</f>
        <v>0</v>
      </c>
      <c r="G8">
        <f>COUNTIFS('Daily Order Tracker'!$F$4:$F$93,$A8,'Daily Order Tracker'!$R$4:$R$93,5)</f>
        <v>0</v>
      </c>
      <c r="H8">
        <f>COUNTIFS('Daily Order Tracker'!$F$4:$F$93,$A8,'Daily Order Tracker'!$R$4:$R$93,6)</f>
        <v>0</v>
      </c>
      <c r="I8">
        <f>COUNTIFS('Daily Order Tracker'!$F$4:$F$93,$A8,'Daily Order Tracker'!$R$4:$R$93,7)</f>
        <v>0</v>
      </c>
      <c r="J8">
        <f>COUNTIFS('Daily Order Tracker'!$F$4:$F$93,$A8,'Daily Order Tracker'!$R$4:$R$93,8)</f>
        <v>0</v>
      </c>
      <c r="K8">
        <f>COUNTIFS('Daily Order Tracker'!$F$4:$F$93,$A8,'Daily Order Tracker'!$R$4:$R$93,9)</f>
        <v>1</v>
      </c>
      <c r="L8">
        <f>COUNTIFS('Daily Order Tracker'!$F$4:$F$93,$A8,'Daily Order Tracker'!$R$4:$R$93,10)</f>
        <v>0</v>
      </c>
      <c r="M8">
        <f>COUNTIFS('Daily Order Tracker'!$F$4:$F$93,$A8,'Daily Order Tracker'!$R$4:$R$93,11)</f>
        <v>0</v>
      </c>
      <c r="N8">
        <f>COUNTIFS('Daily Order Tracker'!$F$4:$F$93,$A8,'Daily Order Tracker'!$R$4:$R$93,12)</f>
        <v>0</v>
      </c>
      <c r="O8">
        <f>COUNTIFS('Daily Order Tracker'!$F$4:$F$93,$A8,'Daily Order Tracker'!$R$4:$R$93,13)</f>
        <v>1</v>
      </c>
      <c r="P8">
        <f>COUNTIFS('Daily Order Tracker'!$F$4:$F$93,$A8,'Daily Order Tracker'!$R$4:$R$93,14)</f>
        <v>2</v>
      </c>
      <c r="Q8">
        <f>COUNTIFS('Daily Order Tracker'!$F$4:$F$93,$A8,'Daily Order Tracker'!$R$4:$R$93,15)</f>
        <v>1</v>
      </c>
      <c r="R8">
        <f>COUNTIFS('Daily Order Tracker'!$F$4:$F$93,$A8,'Daily Order Tracker'!$R$4:$R$93,16)</f>
        <v>0</v>
      </c>
      <c r="S8">
        <f>COUNTIFS('Daily Order Tracker'!$F$4:$F$93,$A8,'Daily Order Tracker'!$R$4:$R$93,17)</f>
        <v>2</v>
      </c>
      <c r="T8">
        <f>COUNTIFS('Daily Order Tracker'!$F$4:$F$93,$A8,'Daily Order Tracker'!$R$4:$R$93,18)</f>
        <v>1</v>
      </c>
      <c r="U8">
        <f>COUNTIFS('Daily Order Tracker'!$F$4:$F$93,$A8,'Daily Order Tracker'!$R$4:$R$93,19)</f>
        <v>0</v>
      </c>
      <c r="V8">
        <f>COUNTIFS('Daily Order Tracker'!$F$4:$F$93,$A8,'Daily Order Tracker'!$R$4:$R$93,20)</f>
        <v>0</v>
      </c>
      <c r="W8">
        <f>COUNTIFS('Daily Order Tracker'!$F$4:$F$93,$A8,'Daily Order Tracker'!$R$4:$R$93,21)</f>
        <v>1</v>
      </c>
      <c r="X8">
        <f>COUNTIFS('Daily Order Tracker'!$F$4:$F$93,$A8,'Daily Order Tracker'!$R$4:$R$93,22)</f>
        <v>0</v>
      </c>
      <c r="Y8">
        <f>COUNTIFS('Daily Order Tracker'!$F$4:$F$93,$A8,'Daily Order Tracker'!$R$4:$R$93,23)</f>
        <v>0</v>
      </c>
      <c r="Z8">
        <f t="shared" si="0"/>
        <v>2</v>
      </c>
      <c r="AA8">
        <f t="shared" si="1"/>
        <v>0</v>
      </c>
      <c r="AB8">
        <f t="shared" si="2"/>
        <v>0</v>
      </c>
      <c r="AC8">
        <f t="shared" si="3"/>
        <v>1</v>
      </c>
      <c r="AD8">
        <f t="shared" si="4"/>
        <v>4</v>
      </c>
      <c r="AE8">
        <f t="shared" si="5"/>
        <v>3</v>
      </c>
      <c r="AF8">
        <f t="shared" si="6"/>
        <v>1</v>
      </c>
    </row>
    <row r="9" spans="1:32" x14ac:dyDescent="0.25">
      <c r="A9" t="s">
        <v>99</v>
      </c>
      <c r="B9">
        <f>COUNTIFS('Daily Order Tracker'!$F$4:$F$93,$A9,'Daily Order Tracker'!$R$4:$R$93,0)</f>
        <v>0</v>
      </c>
      <c r="C9">
        <f>COUNTIFS('Daily Order Tracker'!$F$4:$F$93,$A9,'Daily Order Tracker'!$R$4:$R$93,1)</f>
        <v>0</v>
      </c>
      <c r="D9">
        <f>COUNTIFS('Daily Order Tracker'!$F$4:$F$93,$A9,'Daily Order Tracker'!$R$4:$R$93,2)</f>
        <v>0</v>
      </c>
      <c r="E9">
        <f>COUNTIFS('Daily Order Tracker'!$F$4:$F$93,$A9,'Daily Order Tracker'!$R$4:$R$93,3)</f>
        <v>0</v>
      </c>
      <c r="F9">
        <f>COUNTIFS('Daily Order Tracker'!$F$4:$F$93,$A9,'Daily Order Tracker'!$R$4:$R$93,4)</f>
        <v>0</v>
      </c>
      <c r="G9">
        <f>COUNTIFS('Daily Order Tracker'!$F$4:$F$93,$A9,'Daily Order Tracker'!$R$4:$R$93,5)</f>
        <v>0</v>
      </c>
      <c r="H9">
        <f>COUNTIFS('Daily Order Tracker'!$F$4:$F$93,$A9,'Daily Order Tracker'!$R$4:$R$93,6)</f>
        <v>0</v>
      </c>
      <c r="I9">
        <f>COUNTIFS('Daily Order Tracker'!$F$4:$F$93,$A9,'Daily Order Tracker'!$R$4:$R$93,7)</f>
        <v>0</v>
      </c>
      <c r="J9">
        <f>COUNTIFS('Daily Order Tracker'!$F$4:$F$93,$A9,'Daily Order Tracker'!$R$4:$R$93,8)</f>
        <v>0</v>
      </c>
      <c r="K9">
        <f>COUNTIFS('Daily Order Tracker'!$F$4:$F$93,$A9,'Daily Order Tracker'!$R$4:$R$93,9)</f>
        <v>0</v>
      </c>
      <c r="L9">
        <f>COUNTIFS('Daily Order Tracker'!$F$4:$F$93,$A9,'Daily Order Tracker'!$R$4:$R$93,10)</f>
        <v>1</v>
      </c>
      <c r="M9">
        <f>COUNTIFS('Daily Order Tracker'!$F$4:$F$93,$A9,'Daily Order Tracker'!$R$4:$R$93,11)</f>
        <v>2</v>
      </c>
      <c r="N9">
        <f>COUNTIFS('Daily Order Tracker'!$F$4:$F$93,$A9,'Daily Order Tracker'!$R$4:$R$93,12)</f>
        <v>0</v>
      </c>
      <c r="O9">
        <f>COUNTIFS('Daily Order Tracker'!$F$4:$F$93,$A9,'Daily Order Tracker'!$R$4:$R$93,13)</f>
        <v>0</v>
      </c>
      <c r="P9">
        <f>COUNTIFS('Daily Order Tracker'!$F$4:$F$93,$A9,'Daily Order Tracker'!$R$4:$R$93,14)</f>
        <v>1</v>
      </c>
      <c r="Q9">
        <f>COUNTIFS('Daily Order Tracker'!$F$4:$F$93,$A9,'Daily Order Tracker'!$R$4:$R$93,15)</f>
        <v>0</v>
      </c>
      <c r="R9">
        <f>COUNTIFS('Daily Order Tracker'!$F$4:$F$93,$A9,'Daily Order Tracker'!$R$4:$R$93,16)</f>
        <v>0</v>
      </c>
      <c r="S9">
        <f>COUNTIFS('Daily Order Tracker'!$F$4:$F$93,$A9,'Daily Order Tracker'!$R$4:$R$93,17)</f>
        <v>1</v>
      </c>
      <c r="T9">
        <f>COUNTIFS('Daily Order Tracker'!$F$4:$F$93,$A9,'Daily Order Tracker'!$R$4:$R$93,18)</f>
        <v>0</v>
      </c>
      <c r="U9">
        <f>COUNTIFS('Daily Order Tracker'!$F$4:$F$93,$A9,'Daily Order Tracker'!$R$4:$R$93,19)</f>
        <v>1</v>
      </c>
      <c r="V9">
        <f>COUNTIFS('Daily Order Tracker'!$F$4:$F$93,$A9,'Daily Order Tracker'!$R$4:$R$93,20)</f>
        <v>2</v>
      </c>
      <c r="W9">
        <f>COUNTIFS('Daily Order Tracker'!$F$4:$F$93,$A9,'Daily Order Tracker'!$R$4:$R$93,21)</f>
        <v>1</v>
      </c>
      <c r="X9">
        <f>COUNTIFS('Daily Order Tracker'!$F$4:$F$93,$A9,'Daily Order Tracker'!$R$4:$R$93,22)</f>
        <v>0</v>
      </c>
      <c r="Y9">
        <f>COUNTIFS('Daily Order Tracker'!$F$4:$F$93,$A9,'Daily Order Tracker'!$R$4:$R$93,23)</f>
        <v>0</v>
      </c>
      <c r="Z9">
        <f t="shared" si="0"/>
        <v>2</v>
      </c>
      <c r="AA9">
        <f t="shared" si="1"/>
        <v>0</v>
      </c>
      <c r="AB9">
        <f t="shared" si="2"/>
        <v>0</v>
      </c>
      <c r="AC9">
        <f t="shared" si="3"/>
        <v>3</v>
      </c>
      <c r="AD9">
        <f t="shared" si="4"/>
        <v>1</v>
      </c>
      <c r="AE9">
        <f t="shared" si="5"/>
        <v>2</v>
      </c>
      <c r="AF9">
        <f t="shared" si="6"/>
        <v>3</v>
      </c>
    </row>
    <row r="10" spans="1:32" x14ac:dyDescent="0.25">
      <c r="A10" t="s">
        <v>105</v>
      </c>
      <c r="B10">
        <f>COUNTIFS('Daily Order Tracker'!$F$4:$F$93,$A10,'Daily Order Tracker'!$R$4:$R$93,0)</f>
        <v>0</v>
      </c>
      <c r="C10">
        <f>COUNTIFS('Daily Order Tracker'!$F$4:$F$93,$A10,'Daily Order Tracker'!$R$4:$R$93,1)</f>
        <v>0</v>
      </c>
      <c r="D10">
        <f>COUNTIFS('Daily Order Tracker'!$F$4:$F$93,$A10,'Daily Order Tracker'!$R$4:$R$93,2)</f>
        <v>0</v>
      </c>
      <c r="E10">
        <f>COUNTIFS('Daily Order Tracker'!$F$4:$F$93,$A10,'Daily Order Tracker'!$R$4:$R$93,3)</f>
        <v>0</v>
      </c>
      <c r="F10">
        <f>COUNTIFS('Daily Order Tracker'!$F$4:$F$93,$A10,'Daily Order Tracker'!$R$4:$R$93,4)</f>
        <v>0</v>
      </c>
      <c r="G10">
        <f>COUNTIFS('Daily Order Tracker'!$F$4:$F$93,$A10,'Daily Order Tracker'!$R$4:$R$93,5)</f>
        <v>0</v>
      </c>
      <c r="H10">
        <f>COUNTIFS('Daily Order Tracker'!$F$4:$F$93,$A10,'Daily Order Tracker'!$R$4:$R$93,6)</f>
        <v>0</v>
      </c>
      <c r="I10">
        <f>COUNTIFS('Daily Order Tracker'!$F$4:$F$93,$A10,'Daily Order Tracker'!$R$4:$R$93,7)</f>
        <v>0</v>
      </c>
      <c r="J10">
        <f>COUNTIFS('Daily Order Tracker'!$F$4:$F$93,$A10,'Daily Order Tracker'!$R$4:$R$93,8)</f>
        <v>0</v>
      </c>
      <c r="K10">
        <f>COUNTIFS('Daily Order Tracker'!$F$4:$F$93,$A10,'Daily Order Tracker'!$R$4:$R$93,9)</f>
        <v>0</v>
      </c>
      <c r="L10">
        <f>COUNTIFS('Daily Order Tracker'!$F$4:$F$93,$A10,'Daily Order Tracker'!$R$4:$R$93,10)</f>
        <v>1</v>
      </c>
      <c r="M10">
        <f>COUNTIFS('Daily Order Tracker'!$F$4:$F$93,$A10,'Daily Order Tracker'!$R$4:$R$93,11)</f>
        <v>1</v>
      </c>
      <c r="N10">
        <f>COUNTIFS('Daily Order Tracker'!$F$4:$F$93,$A10,'Daily Order Tracker'!$R$4:$R$93,12)</f>
        <v>0</v>
      </c>
      <c r="O10">
        <f>COUNTIFS('Daily Order Tracker'!$F$4:$F$93,$A10,'Daily Order Tracker'!$R$4:$R$93,13)</f>
        <v>1</v>
      </c>
      <c r="P10">
        <f>COUNTIFS('Daily Order Tracker'!$F$4:$F$93,$A10,'Daily Order Tracker'!$R$4:$R$93,14)</f>
        <v>0</v>
      </c>
      <c r="Q10">
        <f>COUNTIFS('Daily Order Tracker'!$F$4:$F$93,$A10,'Daily Order Tracker'!$R$4:$R$93,15)</f>
        <v>0</v>
      </c>
      <c r="R10">
        <f>COUNTIFS('Daily Order Tracker'!$F$4:$F$93,$A10,'Daily Order Tracker'!$R$4:$R$93,16)</f>
        <v>2</v>
      </c>
      <c r="S10">
        <f>COUNTIFS('Daily Order Tracker'!$F$4:$F$93,$A10,'Daily Order Tracker'!$R$4:$R$93,17)</f>
        <v>1</v>
      </c>
      <c r="T10">
        <f>COUNTIFS('Daily Order Tracker'!$F$4:$F$93,$A10,'Daily Order Tracker'!$R$4:$R$93,18)</f>
        <v>2</v>
      </c>
      <c r="U10">
        <f>COUNTIFS('Daily Order Tracker'!$F$4:$F$93,$A10,'Daily Order Tracker'!$R$4:$R$93,19)</f>
        <v>0</v>
      </c>
      <c r="V10">
        <f>COUNTIFS('Daily Order Tracker'!$F$4:$F$93,$A10,'Daily Order Tracker'!$R$4:$R$93,20)</f>
        <v>0</v>
      </c>
      <c r="W10">
        <f>COUNTIFS('Daily Order Tracker'!$F$4:$F$93,$A10,'Daily Order Tracker'!$R$4:$R$93,21)</f>
        <v>1</v>
      </c>
      <c r="X10">
        <f>COUNTIFS('Daily Order Tracker'!$F$4:$F$93,$A10,'Daily Order Tracker'!$R$4:$R$93,22)</f>
        <v>0</v>
      </c>
      <c r="Y10">
        <f>COUNTIFS('Daily Order Tracker'!$F$4:$F$93,$A10,'Daily Order Tracker'!$R$4:$R$93,23)</f>
        <v>0</v>
      </c>
      <c r="Z10">
        <f t="shared" si="0"/>
        <v>2</v>
      </c>
      <c r="AA10">
        <f t="shared" si="1"/>
        <v>0</v>
      </c>
      <c r="AB10">
        <f t="shared" si="2"/>
        <v>0</v>
      </c>
      <c r="AC10">
        <f t="shared" si="3"/>
        <v>2</v>
      </c>
      <c r="AD10">
        <f t="shared" si="4"/>
        <v>1</v>
      </c>
      <c r="AE10">
        <f t="shared" si="5"/>
        <v>5</v>
      </c>
      <c r="AF10">
        <f t="shared" si="6"/>
        <v>1</v>
      </c>
    </row>
    <row r="11" spans="1:32" x14ac:dyDescent="0.25">
      <c r="A11" t="s">
        <v>112</v>
      </c>
      <c r="B11">
        <f>COUNTIFS('Daily Order Tracker'!$F$4:$F$93,$A11,'Daily Order Tracker'!$R$4:$R$93,0)</f>
        <v>0</v>
      </c>
      <c r="C11">
        <f>COUNTIFS('Daily Order Tracker'!$F$4:$F$93,$A11,'Daily Order Tracker'!$R$4:$R$93,1)</f>
        <v>0</v>
      </c>
      <c r="D11">
        <f>COUNTIFS('Daily Order Tracker'!$F$4:$F$93,$A11,'Daily Order Tracker'!$R$4:$R$93,2)</f>
        <v>0</v>
      </c>
      <c r="E11">
        <f>COUNTIFS('Daily Order Tracker'!$F$4:$F$93,$A11,'Daily Order Tracker'!$R$4:$R$93,3)</f>
        <v>0</v>
      </c>
      <c r="F11">
        <f>COUNTIFS('Daily Order Tracker'!$F$4:$F$93,$A11,'Daily Order Tracker'!$R$4:$R$93,4)</f>
        <v>0</v>
      </c>
      <c r="G11">
        <f>COUNTIFS('Daily Order Tracker'!$F$4:$F$93,$A11,'Daily Order Tracker'!$R$4:$R$93,5)</f>
        <v>0</v>
      </c>
      <c r="H11">
        <f>COUNTIFS('Daily Order Tracker'!$F$4:$F$93,$A11,'Daily Order Tracker'!$R$4:$R$93,6)</f>
        <v>0</v>
      </c>
      <c r="I11">
        <f>COUNTIFS('Daily Order Tracker'!$F$4:$F$93,$A11,'Daily Order Tracker'!$R$4:$R$93,7)</f>
        <v>0</v>
      </c>
      <c r="J11">
        <f>COUNTIFS('Daily Order Tracker'!$F$4:$F$93,$A11,'Daily Order Tracker'!$R$4:$R$93,8)</f>
        <v>0</v>
      </c>
      <c r="K11">
        <f>COUNTIFS('Daily Order Tracker'!$F$4:$F$93,$A11,'Daily Order Tracker'!$R$4:$R$93,9)</f>
        <v>0</v>
      </c>
      <c r="L11">
        <f>COUNTIFS('Daily Order Tracker'!$F$4:$F$93,$A11,'Daily Order Tracker'!$R$4:$R$93,10)</f>
        <v>2</v>
      </c>
      <c r="M11">
        <f>COUNTIFS('Daily Order Tracker'!$F$4:$F$93,$A11,'Daily Order Tracker'!$R$4:$R$93,11)</f>
        <v>0</v>
      </c>
      <c r="N11">
        <f>COUNTIFS('Daily Order Tracker'!$F$4:$F$93,$A11,'Daily Order Tracker'!$R$4:$R$93,12)</f>
        <v>2</v>
      </c>
      <c r="O11">
        <f>COUNTIFS('Daily Order Tracker'!$F$4:$F$93,$A11,'Daily Order Tracker'!$R$4:$R$93,13)</f>
        <v>0</v>
      </c>
      <c r="P11">
        <f>COUNTIFS('Daily Order Tracker'!$F$4:$F$93,$A11,'Daily Order Tracker'!$R$4:$R$93,14)</f>
        <v>0</v>
      </c>
      <c r="Q11">
        <f>COUNTIFS('Daily Order Tracker'!$F$4:$F$93,$A11,'Daily Order Tracker'!$R$4:$R$93,15)</f>
        <v>0</v>
      </c>
      <c r="R11">
        <f>COUNTIFS('Daily Order Tracker'!$F$4:$F$93,$A11,'Daily Order Tracker'!$R$4:$R$93,16)</f>
        <v>2</v>
      </c>
      <c r="S11">
        <f>COUNTIFS('Daily Order Tracker'!$F$4:$F$93,$A11,'Daily Order Tracker'!$R$4:$R$93,17)</f>
        <v>0</v>
      </c>
      <c r="T11">
        <f>COUNTIFS('Daily Order Tracker'!$F$4:$F$93,$A11,'Daily Order Tracker'!$R$4:$R$93,18)</f>
        <v>0</v>
      </c>
      <c r="U11">
        <f>COUNTIFS('Daily Order Tracker'!$F$4:$F$93,$A11,'Daily Order Tracker'!$R$4:$R$93,19)</f>
        <v>1</v>
      </c>
      <c r="V11">
        <f>COUNTIFS('Daily Order Tracker'!$F$4:$F$93,$A11,'Daily Order Tracker'!$R$4:$R$93,20)</f>
        <v>0</v>
      </c>
      <c r="W11">
        <f>COUNTIFS('Daily Order Tracker'!$F$4:$F$93,$A11,'Daily Order Tracker'!$R$4:$R$93,21)</f>
        <v>2</v>
      </c>
      <c r="X11">
        <f>COUNTIFS('Daily Order Tracker'!$F$4:$F$93,$A11,'Daily Order Tracker'!$R$4:$R$93,22)</f>
        <v>0</v>
      </c>
      <c r="Y11">
        <f>COUNTIFS('Daily Order Tracker'!$F$4:$F$93,$A11,'Daily Order Tracker'!$R$4:$R$93,23)</f>
        <v>0</v>
      </c>
      <c r="Z11">
        <f t="shared" si="0"/>
        <v>2</v>
      </c>
      <c r="AA11">
        <f t="shared" si="1"/>
        <v>0</v>
      </c>
      <c r="AB11">
        <f t="shared" si="2"/>
        <v>0</v>
      </c>
      <c r="AC11">
        <f t="shared" si="3"/>
        <v>2</v>
      </c>
      <c r="AD11">
        <f t="shared" si="4"/>
        <v>2</v>
      </c>
      <c r="AE11">
        <f t="shared" si="5"/>
        <v>3</v>
      </c>
      <c r="AF11">
        <f t="shared" si="6"/>
        <v>2</v>
      </c>
    </row>
    <row r="12" spans="1:32" x14ac:dyDescent="0.25">
      <c r="A12" t="s">
        <v>318</v>
      </c>
      <c r="B12">
        <f t="shared" ref="B12:Y12" si="7">SUM(B2:B11)</f>
        <v>0</v>
      </c>
      <c r="C12">
        <f t="shared" si="7"/>
        <v>0</v>
      </c>
      <c r="D12">
        <f t="shared" si="7"/>
        <v>0</v>
      </c>
      <c r="E12">
        <f t="shared" si="7"/>
        <v>0</v>
      </c>
      <c r="F12">
        <f t="shared" si="7"/>
        <v>0</v>
      </c>
      <c r="G12">
        <f t="shared" si="7"/>
        <v>0</v>
      </c>
      <c r="H12">
        <f t="shared" si="7"/>
        <v>0</v>
      </c>
      <c r="I12">
        <f t="shared" si="7"/>
        <v>0</v>
      </c>
      <c r="J12">
        <f t="shared" si="7"/>
        <v>6</v>
      </c>
      <c r="K12">
        <f t="shared" si="7"/>
        <v>6</v>
      </c>
      <c r="L12">
        <f t="shared" si="7"/>
        <v>8</v>
      </c>
      <c r="M12">
        <f t="shared" si="7"/>
        <v>6</v>
      </c>
      <c r="N12">
        <f t="shared" si="7"/>
        <v>4</v>
      </c>
      <c r="O12">
        <f t="shared" si="7"/>
        <v>4</v>
      </c>
      <c r="P12">
        <f t="shared" si="7"/>
        <v>4</v>
      </c>
      <c r="Q12">
        <f t="shared" si="7"/>
        <v>7</v>
      </c>
      <c r="R12">
        <f t="shared" si="7"/>
        <v>9</v>
      </c>
      <c r="S12">
        <f t="shared" si="7"/>
        <v>7</v>
      </c>
      <c r="T12">
        <f t="shared" si="7"/>
        <v>9</v>
      </c>
      <c r="U12">
        <f t="shared" si="7"/>
        <v>6</v>
      </c>
      <c r="V12">
        <f t="shared" si="7"/>
        <v>3</v>
      </c>
      <c r="W12">
        <f t="shared" si="7"/>
        <v>11</v>
      </c>
      <c r="X12">
        <f t="shared" si="7"/>
        <v>0</v>
      </c>
      <c r="Y12">
        <f t="shared" si="7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6600"/>
    <pageSetUpPr fitToPage="1"/>
  </sheetPr>
  <dimension ref="A1:K13"/>
  <sheetViews>
    <sheetView showGridLines="0" zoomScaleNormal="100" workbookViewId="0">
      <pane ySplit="3" topLeftCell="A4" activePane="bottomLeft" state="frozen"/>
      <selection pane="bottomLeft" sqref="A1:K1"/>
    </sheetView>
  </sheetViews>
  <sheetFormatPr defaultColWidth="8.7109375" defaultRowHeight="15" x14ac:dyDescent="0.25"/>
  <cols>
    <col min="1" max="1" width="26" customWidth="1"/>
    <col min="2" max="2" width="15" customWidth="1"/>
    <col min="3" max="3" width="20" customWidth="1"/>
    <col min="4" max="4" width="15" customWidth="1"/>
    <col min="5" max="6" width="12" customWidth="1"/>
    <col min="7" max="7" width="10" customWidth="1"/>
    <col min="8" max="8" width="16" customWidth="1"/>
    <col min="9" max="10" width="12" customWidth="1"/>
    <col min="11" max="11" width="10" customWidth="1"/>
  </cols>
  <sheetData>
    <row r="1" spans="1:11" ht="33.75" customHeight="1" x14ac:dyDescent="0.25">
      <c r="A1" s="27" t="s">
        <v>319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18" customHeight="1" x14ac:dyDescent="0.25">
      <c r="A2" s="28" t="s">
        <v>320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1" ht="27.75" customHeight="1" x14ac:dyDescent="0.25">
      <c r="A3" s="13" t="s">
        <v>321</v>
      </c>
      <c r="B3" s="13" t="s">
        <v>17</v>
      </c>
      <c r="C3" s="13" t="s">
        <v>322</v>
      </c>
      <c r="D3" s="13" t="s">
        <v>323</v>
      </c>
      <c r="E3" s="13" t="s">
        <v>324</v>
      </c>
      <c r="F3" s="13" t="s">
        <v>325</v>
      </c>
      <c r="G3" s="13" t="s">
        <v>326</v>
      </c>
      <c r="H3" s="13" t="s">
        <v>327</v>
      </c>
      <c r="I3" s="13" t="s">
        <v>328</v>
      </c>
      <c r="J3" s="13" t="s">
        <v>311</v>
      </c>
      <c r="K3" s="13" t="s">
        <v>329</v>
      </c>
    </row>
    <row r="4" spans="1:11" x14ac:dyDescent="0.25">
      <c r="A4" s="9" t="s">
        <v>53</v>
      </c>
      <c r="B4" s="9" t="s">
        <v>52</v>
      </c>
      <c r="C4" s="9" t="s">
        <v>330</v>
      </c>
      <c r="D4" s="9" t="s">
        <v>331</v>
      </c>
      <c r="E4" s="9">
        <f>COUNTIF('Daily Order Tracker'!$F$4:$F$93,A4)</f>
        <v>9</v>
      </c>
      <c r="F4" s="9">
        <f>COUNTIFS('Daily Order Tracker'!$F$4:$F$93,A4,'Daily Order Tracker'!$N$4:$N$93,"Preparing")</f>
        <v>1</v>
      </c>
      <c r="G4" s="9">
        <f>COUNTIFS('Daily Order Tracker'!$F$4:$F$93,A4,'Daily Order Tracker'!$N$4:$N$93,"Ready")</f>
        <v>0</v>
      </c>
      <c r="H4" s="11">
        <f>IFERROR(AVERAGEIFS('Daily Order Tracker'!$Q$4:$Q$93,'Daily Order Tracker'!$F$4:$F$93,A4,'Daily Order Tracker'!$Q$4:$Q$93,"&lt;&gt;"),0)</f>
        <v>4.8749999999999325</v>
      </c>
      <c r="I4" s="9">
        <f>COUNTIFS('Daily Order Tracker'!$F$4:$F$93,A4,'Daily Order Tracker'!$S$4:$S$93,"Y")</f>
        <v>4</v>
      </c>
      <c r="J4" s="9">
        <f>INDEX(Hourly_Helper!$Z$2:$Z$11,MATCH(A4,Hourly_Helper!$A$2:$A$11,0))</f>
        <v>2</v>
      </c>
      <c r="K4" s="12">
        <f t="shared" ref="K4:K13" si="0">IFERROR((E4-I4)/E4,0)</f>
        <v>0.55555555555555558</v>
      </c>
    </row>
    <row r="5" spans="1:11" x14ac:dyDescent="0.25">
      <c r="A5" s="5" t="s">
        <v>60</v>
      </c>
      <c r="B5" s="5" t="s">
        <v>59</v>
      </c>
      <c r="C5" s="5" t="s">
        <v>332</v>
      </c>
      <c r="D5" s="5" t="s">
        <v>333</v>
      </c>
      <c r="E5" s="5">
        <f>COUNTIF('Daily Order Tracker'!$F$4:$F$93,A5)</f>
        <v>9</v>
      </c>
      <c r="F5" s="5">
        <f>COUNTIFS('Daily Order Tracker'!$F$4:$F$93,A5,'Daily Order Tracker'!$N$4:$N$93,"Preparing")</f>
        <v>0</v>
      </c>
      <c r="G5" s="5">
        <f>COUNTIFS('Daily Order Tracker'!$F$4:$F$93,A5,'Daily Order Tracker'!$N$4:$N$93,"Ready")</f>
        <v>0</v>
      </c>
      <c r="H5" s="7">
        <f>IFERROR(AVERAGEIFS('Daily Order Tracker'!$Q$4:$Q$93,'Daily Order Tracker'!$F$4:$F$93,A5,'Daily Order Tracker'!$Q$4:$Q$93,"&lt;&gt;"),0)</f>
        <v>6.5000000000001457</v>
      </c>
      <c r="I5" s="5">
        <f>COUNTIFS('Daily Order Tracker'!$F$4:$F$93,A5,'Daily Order Tracker'!$S$4:$S$93,"Y")</f>
        <v>5</v>
      </c>
      <c r="J5" s="5">
        <f>INDEX(Hourly_Helper!$Z$2:$Z$11,MATCH(A5,Hourly_Helper!$A$2:$A$11,0))</f>
        <v>2</v>
      </c>
      <c r="K5" s="8">
        <f t="shared" si="0"/>
        <v>0.44444444444444442</v>
      </c>
    </row>
    <row r="6" spans="1:11" x14ac:dyDescent="0.25">
      <c r="A6" s="9" t="s">
        <v>67</v>
      </c>
      <c r="B6" s="9" t="s">
        <v>66</v>
      </c>
      <c r="C6" s="9" t="s">
        <v>334</v>
      </c>
      <c r="D6" s="9" t="s">
        <v>335</v>
      </c>
      <c r="E6" s="9">
        <f>COUNTIF('Daily Order Tracker'!$F$4:$F$93,A6)</f>
        <v>9</v>
      </c>
      <c r="F6" s="9">
        <f>COUNTIFS('Daily Order Tracker'!$F$4:$F$93,A6,'Daily Order Tracker'!$N$4:$N$93,"Preparing")</f>
        <v>0</v>
      </c>
      <c r="G6" s="9">
        <f>COUNTIFS('Daily Order Tracker'!$F$4:$F$93,A6,'Daily Order Tracker'!$N$4:$N$93,"Ready")</f>
        <v>0</v>
      </c>
      <c r="H6" s="11">
        <f>IFERROR(AVERAGEIFS('Daily Order Tracker'!$Q$4:$Q$93,'Daily Order Tracker'!$F$4:$F$93,A6,'Daily Order Tracker'!$Q$4:$Q$93,"&lt;&gt;"),0)</f>
        <v>5.7142857142851238</v>
      </c>
      <c r="I6" s="9">
        <f>COUNTIFS('Daily Order Tracker'!$F$4:$F$93,A6,'Daily Order Tracker'!$S$4:$S$93,"Y")</f>
        <v>6</v>
      </c>
      <c r="J6" s="9">
        <f>INDEX(Hourly_Helper!$Z$2:$Z$11,MATCH(A6,Hourly_Helper!$A$2:$A$11,0))</f>
        <v>3</v>
      </c>
      <c r="K6" s="12">
        <f t="shared" si="0"/>
        <v>0.33333333333333331</v>
      </c>
    </row>
    <row r="7" spans="1:11" x14ac:dyDescent="0.25">
      <c r="A7" s="5" t="s">
        <v>74</v>
      </c>
      <c r="B7" s="5" t="s">
        <v>73</v>
      </c>
      <c r="C7" s="5" t="s">
        <v>336</v>
      </c>
      <c r="D7" s="5" t="s">
        <v>337</v>
      </c>
      <c r="E7" s="5">
        <f>COUNTIF('Daily Order Tracker'!$F$4:$F$93,A7)</f>
        <v>9</v>
      </c>
      <c r="F7" s="5">
        <f>COUNTIFS('Daily Order Tracker'!$F$4:$F$93,A7,'Daily Order Tracker'!$N$4:$N$93,"Preparing")</f>
        <v>0</v>
      </c>
      <c r="G7" s="5">
        <f>COUNTIFS('Daily Order Tracker'!$F$4:$F$93,A7,'Daily Order Tracker'!$N$4:$N$93,"Ready")</f>
        <v>0</v>
      </c>
      <c r="H7" s="7">
        <f>IFERROR(AVERAGEIFS('Daily Order Tracker'!$Q$4:$Q$93,'Daily Order Tracker'!$F$4:$F$93,A7,'Daily Order Tracker'!$Q$4:$Q$93,"&lt;&gt;"),0)</f>
        <v>6.2857142857143655</v>
      </c>
      <c r="I7" s="5">
        <f>COUNTIFS('Daily Order Tracker'!$F$4:$F$93,A7,'Daily Order Tracker'!$S$4:$S$93,"Y")</f>
        <v>5</v>
      </c>
      <c r="J7" s="5">
        <f>INDEX(Hourly_Helper!$Z$2:$Z$11,MATCH(A7,Hourly_Helper!$A$2:$A$11,0))</f>
        <v>2</v>
      </c>
      <c r="K7" s="8">
        <f t="shared" si="0"/>
        <v>0.44444444444444442</v>
      </c>
    </row>
    <row r="8" spans="1:11" x14ac:dyDescent="0.25">
      <c r="A8" s="9" t="s">
        <v>81</v>
      </c>
      <c r="B8" s="9" t="s">
        <v>80</v>
      </c>
      <c r="C8" s="9" t="s">
        <v>330</v>
      </c>
      <c r="D8" s="9" t="s">
        <v>338</v>
      </c>
      <c r="E8" s="9">
        <f>COUNTIF('Daily Order Tracker'!$F$4:$F$93,A8)</f>
        <v>9</v>
      </c>
      <c r="F8" s="9">
        <f>COUNTIFS('Daily Order Tracker'!$F$4:$F$93,A8,'Daily Order Tracker'!$N$4:$N$93,"Preparing")</f>
        <v>0</v>
      </c>
      <c r="G8" s="9">
        <f>COUNTIFS('Daily Order Tracker'!$F$4:$F$93,A8,'Daily Order Tracker'!$N$4:$N$93,"Ready")</f>
        <v>0</v>
      </c>
      <c r="H8" s="11">
        <f>IFERROR(AVERAGEIFS('Daily Order Tracker'!$Q$4:$Q$93,'Daily Order Tracker'!$F$4:$F$93,A8,'Daily Order Tracker'!$Q$4:$Q$93,"&lt;&gt;"),0)</f>
        <v>6.7500000000001856</v>
      </c>
      <c r="I8" s="9">
        <f>COUNTIFS('Daily Order Tracker'!$F$4:$F$93,A8,'Daily Order Tracker'!$S$4:$S$93,"Y")</f>
        <v>8</v>
      </c>
      <c r="J8" s="9">
        <f>INDEX(Hourly_Helper!$Z$2:$Z$11,MATCH(A8,Hourly_Helper!$A$2:$A$11,0))</f>
        <v>2</v>
      </c>
      <c r="K8" s="12">
        <f t="shared" si="0"/>
        <v>0.1111111111111111</v>
      </c>
    </row>
    <row r="9" spans="1:11" x14ac:dyDescent="0.25">
      <c r="A9" s="5" t="s">
        <v>86</v>
      </c>
      <c r="B9" s="5" t="s">
        <v>85</v>
      </c>
      <c r="C9" s="5" t="s">
        <v>332</v>
      </c>
      <c r="D9" s="5" t="s">
        <v>339</v>
      </c>
      <c r="E9" s="5">
        <f>COUNTIF('Daily Order Tracker'!$F$4:$F$93,A9)</f>
        <v>9</v>
      </c>
      <c r="F9" s="5">
        <f>COUNTIFS('Daily Order Tracker'!$F$4:$F$93,A9,'Daily Order Tracker'!$N$4:$N$93,"Preparing")</f>
        <v>0</v>
      </c>
      <c r="G9" s="5">
        <f>COUNTIFS('Daily Order Tracker'!$F$4:$F$93,A9,'Daily Order Tracker'!$N$4:$N$93,"Ready")</f>
        <v>1</v>
      </c>
      <c r="H9" s="7">
        <f>IFERROR(AVERAGEIFS('Daily Order Tracker'!$Q$4:$Q$93,'Daily Order Tracker'!$F$4:$F$93,A9,'Daily Order Tracker'!$Q$4:$Q$93,"&lt;&gt;"),0)</f>
        <v>5.3333333333330346</v>
      </c>
      <c r="I9" s="5">
        <f>COUNTIFS('Daily Order Tracker'!$F$4:$F$93,A9,'Daily Order Tracker'!$S$4:$S$93,"Y")</f>
        <v>3</v>
      </c>
      <c r="J9" s="5">
        <f>INDEX(Hourly_Helper!$Z$2:$Z$11,MATCH(A9,Hourly_Helper!$A$2:$A$11,0))</f>
        <v>3</v>
      </c>
      <c r="K9" s="8">
        <f t="shared" si="0"/>
        <v>0.66666666666666663</v>
      </c>
    </row>
    <row r="10" spans="1:11" x14ac:dyDescent="0.25">
      <c r="A10" s="9" t="s">
        <v>92</v>
      </c>
      <c r="B10" s="9" t="s">
        <v>91</v>
      </c>
      <c r="C10" s="9" t="s">
        <v>334</v>
      </c>
      <c r="D10" s="9" t="s">
        <v>340</v>
      </c>
      <c r="E10" s="9">
        <f>COUNTIF('Daily Order Tracker'!$F$4:$F$93,A10)</f>
        <v>9</v>
      </c>
      <c r="F10" s="9">
        <f>COUNTIFS('Daily Order Tracker'!$F$4:$F$93,A10,'Daily Order Tracker'!$N$4:$N$93,"Preparing")</f>
        <v>1</v>
      </c>
      <c r="G10" s="9">
        <f>COUNTIFS('Daily Order Tracker'!$F$4:$F$93,A10,'Daily Order Tracker'!$N$4:$N$93,"Ready")</f>
        <v>0</v>
      </c>
      <c r="H10" s="11">
        <f>IFERROR(AVERAGEIFS('Daily Order Tracker'!$Q$4:$Q$93,'Daily Order Tracker'!$F$4:$F$93,A10,'Daily Order Tracker'!$Q$4:$Q$93,"&lt;&gt;"),0)</f>
        <v>6.5714285714291076</v>
      </c>
      <c r="I10" s="9">
        <f>COUNTIFS('Daily Order Tracker'!$F$4:$F$93,A10,'Daily Order Tracker'!$S$4:$S$93,"Y")</f>
        <v>6</v>
      </c>
      <c r="J10" s="9">
        <f>INDEX(Hourly_Helper!$Z$2:$Z$11,MATCH(A10,Hourly_Helper!$A$2:$A$11,0))</f>
        <v>2</v>
      </c>
      <c r="K10" s="12">
        <f t="shared" si="0"/>
        <v>0.33333333333333331</v>
      </c>
    </row>
    <row r="11" spans="1:11" x14ac:dyDescent="0.25">
      <c r="A11" s="5" t="s">
        <v>99</v>
      </c>
      <c r="B11" s="5" t="s">
        <v>98</v>
      </c>
      <c r="C11" s="5" t="s">
        <v>336</v>
      </c>
      <c r="D11" s="5" t="s">
        <v>341</v>
      </c>
      <c r="E11" s="5">
        <f>COUNTIF('Daily Order Tracker'!$F$4:$F$93,A11)</f>
        <v>9</v>
      </c>
      <c r="F11" s="5">
        <f>COUNTIFS('Daily Order Tracker'!$F$4:$F$93,A11,'Daily Order Tracker'!$N$4:$N$93,"Preparing")</f>
        <v>1</v>
      </c>
      <c r="G11" s="5">
        <f>COUNTIFS('Daily Order Tracker'!$F$4:$F$93,A11,'Daily Order Tracker'!$N$4:$N$93,"Ready")</f>
        <v>0</v>
      </c>
      <c r="H11" s="7">
        <f>IFERROR(AVERAGEIFS('Daily Order Tracker'!$Q$4:$Q$93,'Daily Order Tracker'!$F$4:$F$93,A11,'Daily Order Tracker'!$Q$4:$Q$93,"&lt;&gt;"),0)</f>
        <v>5.8749999999999982</v>
      </c>
      <c r="I11" s="5">
        <f>COUNTIFS('Daily Order Tracker'!$F$4:$F$93,A11,'Daily Order Tracker'!$S$4:$S$93,"Y")</f>
        <v>6</v>
      </c>
      <c r="J11" s="5">
        <f>INDEX(Hourly_Helper!$Z$2:$Z$11,MATCH(A11,Hourly_Helper!$A$2:$A$11,0))</f>
        <v>2</v>
      </c>
      <c r="K11" s="8">
        <f t="shared" si="0"/>
        <v>0.33333333333333331</v>
      </c>
    </row>
    <row r="12" spans="1:11" x14ac:dyDescent="0.25">
      <c r="A12" s="9" t="s">
        <v>105</v>
      </c>
      <c r="B12" s="9" t="s">
        <v>104</v>
      </c>
      <c r="C12" s="9" t="s">
        <v>330</v>
      </c>
      <c r="D12" s="9" t="s">
        <v>342</v>
      </c>
      <c r="E12" s="9">
        <f>COUNTIF('Daily Order Tracker'!$F$4:$F$93,A12)</f>
        <v>9</v>
      </c>
      <c r="F12" s="9">
        <f>COUNTIFS('Daily Order Tracker'!$F$4:$F$93,A12,'Daily Order Tracker'!$N$4:$N$93,"Preparing")</f>
        <v>0</v>
      </c>
      <c r="G12" s="9">
        <f>COUNTIFS('Daily Order Tracker'!$F$4:$F$93,A12,'Daily Order Tracker'!$N$4:$N$93,"Ready")</f>
        <v>0</v>
      </c>
      <c r="H12" s="11">
        <f>IFERROR(AVERAGEIFS('Daily Order Tracker'!$Q$4:$Q$93,'Daily Order Tracker'!$F$4:$F$93,A12,'Daily Order Tracker'!$Q$4:$Q$93,"&lt;&gt;"),0)</f>
        <v>6.0000000000003517</v>
      </c>
      <c r="I12" s="9">
        <f>COUNTIFS('Daily Order Tracker'!$F$4:$F$93,A12,'Daily Order Tracker'!$S$4:$S$93,"Y")</f>
        <v>6</v>
      </c>
      <c r="J12" s="9">
        <f>INDEX(Hourly_Helper!$Z$2:$Z$11,MATCH(A12,Hourly_Helper!$A$2:$A$11,0))</f>
        <v>2</v>
      </c>
      <c r="K12" s="12">
        <f t="shared" si="0"/>
        <v>0.33333333333333331</v>
      </c>
    </row>
    <row r="13" spans="1:11" x14ac:dyDescent="0.25">
      <c r="A13" s="5" t="s">
        <v>112</v>
      </c>
      <c r="B13" s="5" t="s">
        <v>111</v>
      </c>
      <c r="C13" s="5" t="s">
        <v>332</v>
      </c>
      <c r="D13" s="5" t="s">
        <v>343</v>
      </c>
      <c r="E13" s="5">
        <f>COUNTIF('Daily Order Tracker'!$F$4:$F$93,A13)</f>
        <v>9</v>
      </c>
      <c r="F13" s="5">
        <f>COUNTIFS('Daily Order Tracker'!$F$4:$F$93,A13,'Daily Order Tracker'!$N$4:$N$93,"Preparing")</f>
        <v>0</v>
      </c>
      <c r="G13" s="5">
        <f>COUNTIFS('Daily Order Tracker'!$F$4:$F$93,A13,'Daily Order Tracker'!$N$4:$N$93,"Ready")</f>
        <v>0</v>
      </c>
      <c r="H13" s="7">
        <f>IFERROR(AVERAGEIFS('Daily Order Tracker'!$Q$4:$Q$93,'Daily Order Tracker'!$F$4:$F$93,A13,'Daily Order Tracker'!$Q$4:$Q$93,"&lt;&gt;"),0)</f>
        <v>5.5714285714289051</v>
      </c>
      <c r="I13" s="5">
        <f>COUNTIFS('Daily Order Tracker'!$F$4:$F$93,A13,'Daily Order Tracker'!$S$4:$S$93,"Y")</f>
        <v>5</v>
      </c>
      <c r="J13" s="5">
        <f>INDEX(Hourly_Helper!$Z$2:$Z$11,MATCH(A13,Hourly_Helper!$A$2:$A$11,0))</f>
        <v>2</v>
      </c>
      <c r="K13" s="8">
        <f t="shared" si="0"/>
        <v>0.44444444444444442</v>
      </c>
    </row>
  </sheetData>
  <autoFilter ref="A3:K13" xr:uid="{00000000-0009-0000-0000-000003000000}"/>
  <mergeCells count="2">
    <mergeCell ref="A1:K1"/>
    <mergeCell ref="A2:K2"/>
  </mergeCells>
  <conditionalFormatting sqref="I4:I13">
    <cfRule type="dataBar" priority="3">
      <dataBar>
        <cfvo type="min"/>
        <cfvo type="max"/>
        <color rgb="FFE74C3C"/>
      </dataBar>
      <extLst>
        <ext xmlns:x14="http://schemas.microsoft.com/office/spreadsheetml/2009/9/main" uri="{B025F937-C7B1-47D3-B67F-A62EFF666E3E}">
          <x14:id>{5B515D90-DE79-4820-80BF-609590EF7057}</x14:id>
        </ext>
      </extLst>
    </cfRule>
  </conditionalFormatting>
  <conditionalFormatting sqref="K4:K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75" right="0.75" top="1" bottom="1" header="0.511811023622047" footer="0.511811023622047"/>
  <pageSetup paperSize="9"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B515D90-DE79-4820-80BF-609590EF7057}">
            <x14:dataBar axisPosition="none">
              <x14:cfvo type="min"/>
              <x14:cfvo type="max"/>
              <x14:negativeFillColor rgb="FFE74C3C"/>
            </x14:dataBar>
          </x14:cfRule>
          <xm:sqref>I4:I13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6600"/>
    <pageSetUpPr fitToPage="1"/>
  </sheetPr>
  <dimension ref="A1:H23"/>
  <sheetViews>
    <sheetView showGridLines="0" zoomScaleNormal="100" workbookViewId="0">
      <pane ySplit="3" topLeftCell="A4" activePane="bottomLeft" state="frozen"/>
      <selection pane="bottomLeft" sqref="A1:H1"/>
    </sheetView>
  </sheetViews>
  <sheetFormatPr defaultColWidth="8.7109375" defaultRowHeight="15" x14ac:dyDescent="0.25"/>
  <cols>
    <col min="1" max="1" width="22" customWidth="1"/>
    <col min="2" max="2" width="16" customWidth="1"/>
    <col min="3" max="3" width="14" customWidth="1"/>
    <col min="4" max="5" width="12" customWidth="1"/>
    <col min="6" max="7" width="14" customWidth="1"/>
    <col min="8" max="8" width="12" customWidth="1"/>
  </cols>
  <sheetData>
    <row r="1" spans="1:8" ht="33.75" customHeight="1" x14ac:dyDescent="0.25">
      <c r="A1" s="27" t="s">
        <v>344</v>
      </c>
      <c r="B1" s="27"/>
      <c r="C1" s="27"/>
      <c r="D1" s="27"/>
      <c r="E1" s="27"/>
      <c r="F1" s="27"/>
      <c r="G1" s="27"/>
      <c r="H1" s="27"/>
    </row>
    <row r="2" spans="1:8" ht="18" customHeight="1" x14ac:dyDescent="0.25">
      <c r="A2" s="28" t="s">
        <v>345</v>
      </c>
      <c r="B2" s="28"/>
      <c r="C2" s="28"/>
      <c r="D2" s="28"/>
      <c r="E2" s="28"/>
      <c r="F2" s="28"/>
      <c r="G2" s="28"/>
      <c r="H2" s="28"/>
    </row>
    <row r="3" spans="1:8" ht="27.75" customHeight="1" x14ac:dyDescent="0.25">
      <c r="A3" s="13" t="s">
        <v>346</v>
      </c>
      <c r="B3" s="13" t="s">
        <v>347</v>
      </c>
      <c r="C3" s="13" t="s">
        <v>348</v>
      </c>
      <c r="D3" s="13" t="s">
        <v>349</v>
      </c>
      <c r="E3" s="13" t="s">
        <v>350</v>
      </c>
      <c r="F3" s="13" t="s">
        <v>351</v>
      </c>
      <c r="G3" s="13" t="s">
        <v>352</v>
      </c>
      <c r="H3" s="13" t="s">
        <v>353</v>
      </c>
    </row>
    <row r="4" spans="1:8" x14ac:dyDescent="0.25">
      <c r="A4" s="9" t="s">
        <v>354</v>
      </c>
      <c r="B4" s="9" t="s">
        <v>355</v>
      </c>
      <c r="C4" s="9">
        <v>58</v>
      </c>
      <c r="D4" s="16">
        <v>0.81805555555555598</v>
      </c>
      <c r="E4" s="16">
        <v>0.82361111111111096</v>
      </c>
      <c r="F4" s="11">
        <f t="shared" ref="F4:F23" si="0">(E4-D4)*1440</f>
        <v>7.9999999999991722</v>
      </c>
      <c r="G4" s="9">
        <v>6</v>
      </c>
      <c r="H4" s="9" t="str">
        <f t="shared" ref="H4:H23" si="1">IF(F4&gt;G4,"DELAYED","On Time")</f>
        <v>DELAYED</v>
      </c>
    </row>
    <row r="5" spans="1:8" x14ac:dyDescent="0.25">
      <c r="A5" s="5" t="s">
        <v>356</v>
      </c>
      <c r="B5" s="5" t="s">
        <v>357</v>
      </c>
      <c r="C5" s="5">
        <v>23</v>
      </c>
      <c r="D5" s="20">
        <v>0.58750000000000002</v>
      </c>
      <c r="E5" s="20">
        <v>0.59652777777777799</v>
      </c>
      <c r="F5" s="7">
        <f t="shared" si="0"/>
        <v>13.000000000000274</v>
      </c>
      <c r="G5" s="5">
        <v>10</v>
      </c>
      <c r="H5" s="5" t="str">
        <f t="shared" si="1"/>
        <v>DELAYED</v>
      </c>
    </row>
    <row r="6" spans="1:8" x14ac:dyDescent="0.25">
      <c r="A6" s="9" t="s">
        <v>358</v>
      </c>
      <c r="B6" s="9" t="s">
        <v>359</v>
      </c>
      <c r="C6" s="9">
        <v>51</v>
      </c>
      <c r="D6" s="16">
        <v>0.57361111111111096</v>
      </c>
      <c r="E6" s="16">
        <v>0.58611111111111103</v>
      </c>
      <c r="F6" s="11">
        <f t="shared" si="0"/>
        <v>18.000000000000096</v>
      </c>
      <c r="G6" s="9">
        <v>12</v>
      </c>
      <c r="H6" s="9" t="str">
        <f t="shared" si="1"/>
        <v>DELAYED</v>
      </c>
    </row>
    <row r="7" spans="1:8" x14ac:dyDescent="0.25">
      <c r="A7" s="5" t="s">
        <v>360</v>
      </c>
      <c r="B7" s="5" t="s">
        <v>361</v>
      </c>
      <c r="C7" s="5">
        <v>34</v>
      </c>
      <c r="D7" s="20">
        <v>0.58680555555555602</v>
      </c>
      <c r="E7" s="20">
        <v>0.593055555555556</v>
      </c>
      <c r="F7" s="7">
        <f t="shared" si="0"/>
        <v>8.999999999999968</v>
      </c>
      <c r="G7" s="5">
        <v>10</v>
      </c>
      <c r="H7" s="5" t="str">
        <f t="shared" si="1"/>
        <v>On Time</v>
      </c>
    </row>
    <row r="8" spans="1:8" x14ac:dyDescent="0.25">
      <c r="A8" s="9" t="s">
        <v>362</v>
      </c>
      <c r="B8" s="9" t="s">
        <v>363</v>
      </c>
      <c r="C8" s="9">
        <v>59</v>
      </c>
      <c r="D8" s="16">
        <v>0.57013888888888897</v>
      </c>
      <c r="E8" s="16">
        <v>0.58055555555555605</v>
      </c>
      <c r="F8" s="11">
        <f t="shared" si="0"/>
        <v>15.000000000000586</v>
      </c>
      <c r="G8" s="9">
        <v>12</v>
      </c>
      <c r="H8" s="9" t="str">
        <f t="shared" si="1"/>
        <v>DELAYED</v>
      </c>
    </row>
    <row r="9" spans="1:8" x14ac:dyDescent="0.25">
      <c r="A9" s="5" t="s">
        <v>364</v>
      </c>
      <c r="B9" s="5" t="s">
        <v>365</v>
      </c>
      <c r="C9" s="5">
        <v>31</v>
      </c>
      <c r="D9" s="20">
        <v>0.78125</v>
      </c>
      <c r="E9" s="20">
        <v>0.78611111111111098</v>
      </c>
      <c r="F9" s="7">
        <f t="shared" si="0"/>
        <v>6.9999999999998153</v>
      </c>
      <c r="G9" s="5">
        <v>6</v>
      </c>
      <c r="H9" s="5" t="str">
        <f t="shared" si="1"/>
        <v>DELAYED</v>
      </c>
    </row>
    <row r="10" spans="1:8" x14ac:dyDescent="0.25">
      <c r="A10" s="9" t="s">
        <v>366</v>
      </c>
      <c r="B10" s="9" t="s">
        <v>355</v>
      </c>
      <c r="C10" s="9">
        <v>63</v>
      </c>
      <c r="D10" s="16">
        <v>0.82638888888888895</v>
      </c>
      <c r="E10" s="16">
        <v>0.83125000000000004</v>
      </c>
      <c r="F10" s="11">
        <f t="shared" si="0"/>
        <v>6.9999999999999751</v>
      </c>
      <c r="G10" s="9">
        <v>8</v>
      </c>
      <c r="H10" s="9" t="str">
        <f t="shared" si="1"/>
        <v>On Time</v>
      </c>
    </row>
    <row r="11" spans="1:8" x14ac:dyDescent="0.25">
      <c r="A11" s="5" t="s">
        <v>367</v>
      </c>
      <c r="B11" s="5" t="s">
        <v>357</v>
      </c>
      <c r="C11" s="5">
        <v>26</v>
      </c>
      <c r="D11" s="20">
        <v>0.82083333333333297</v>
      </c>
      <c r="E11" s="20">
        <v>0.83055555555555605</v>
      </c>
      <c r="F11" s="7">
        <f t="shared" si="0"/>
        <v>14.000000000001229</v>
      </c>
      <c r="G11" s="5">
        <v>9</v>
      </c>
      <c r="H11" s="5" t="str">
        <f t="shared" si="1"/>
        <v>DELAYED</v>
      </c>
    </row>
    <row r="12" spans="1:8" x14ac:dyDescent="0.25">
      <c r="A12" s="9" t="s">
        <v>368</v>
      </c>
      <c r="B12" s="9" t="s">
        <v>359</v>
      </c>
      <c r="C12" s="9">
        <v>61</v>
      </c>
      <c r="D12" s="16">
        <v>0.390972222222222</v>
      </c>
      <c r="E12" s="16">
        <v>0.39583333333333298</v>
      </c>
      <c r="F12" s="11">
        <f t="shared" si="0"/>
        <v>6.9999999999998153</v>
      </c>
      <c r="G12" s="9">
        <v>8</v>
      </c>
      <c r="H12" s="9" t="str">
        <f t="shared" si="1"/>
        <v>On Time</v>
      </c>
    </row>
    <row r="13" spans="1:8" x14ac:dyDescent="0.25">
      <c r="A13" s="5" t="s">
        <v>369</v>
      </c>
      <c r="B13" s="5" t="s">
        <v>361</v>
      </c>
      <c r="C13" s="5">
        <v>42</v>
      </c>
      <c r="D13" s="20">
        <v>0.61736111111111103</v>
      </c>
      <c r="E13" s="20">
        <v>0.62361111111111101</v>
      </c>
      <c r="F13" s="7">
        <f t="shared" si="0"/>
        <v>8.999999999999968</v>
      </c>
      <c r="G13" s="5">
        <v>9</v>
      </c>
      <c r="H13" s="5" t="str">
        <f t="shared" si="1"/>
        <v>On Time</v>
      </c>
    </row>
    <row r="14" spans="1:8" x14ac:dyDescent="0.25">
      <c r="A14" s="9" t="s">
        <v>370</v>
      </c>
      <c r="B14" s="9" t="s">
        <v>363</v>
      </c>
      <c r="C14" s="9">
        <v>43</v>
      </c>
      <c r="D14" s="16">
        <v>0.46458333333333302</v>
      </c>
      <c r="E14" s="16">
        <v>0.469444444444444</v>
      </c>
      <c r="F14" s="11">
        <f t="shared" si="0"/>
        <v>6.9999999999998153</v>
      </c>
      <c r="G14" s="9">
        <v>6</v>
      </c>
      <c r="H14" s="9" t="str">
        <f t="shared" si="1"/>
        <v>DELAYED</v>
      </c>
    </row>
    <row r="15" spans="1:8" x14ac:dyDescent="0.25">
      <c r="A15" s="5" t="s">
        <v>371</v>
      </c>
      <c r="B15" s="5" t="s">
        <v>365</v>
      </c>
      <c r="C15" s="5">
        <v>27</v>
      </c>
      <c r="D15" s="20">
        <v>0.74236111111111103</v>
      </c>
      <c r="E15" s="20">
        <v>0.75277777777777799</v>
      </c>
      <c r="F15" s="7">
        <f t="shared" si="0"/>
        <v>15.000000000000426</v>
      </c>
      <c r="G15" s="5">
        <v>10</v>
      </c>
      <c r="H15" s="5" t="str">
        <f t="shared" si="1"/>
        <v>DELAYED</v>
      </c>
    </row>
    <row r="16" spans="1:8" x14ac:dyDescent="0.25">
      <c r="A16" s="9" t="s">
        <v>372</v>
      </c>
      <c r="B16" s="9" t="s">
        <v>355</v>
      </c>
      <c r="C16" s="9">
        <v>19</v>
      </c>
      <c r="D16" s="16">
        <v>0.80625000000000002</v>
      </c>
      <c r="E16" s="16">
        <v>0.8125</v>
      </c>
      <c r="F16" s="11">
        <f t="shared" si="0"/>
        <v>8.999999999999968</v>
      </c>
      <c r="G16" s="9">
        <v>10</v>
      </c>
      <c r="H16" s="9" t="str">
        <f t="shared" si="1"/>
        <v>On Time</v>
      </c>
    </row>
    <row r="17" spans="1:8" x14ac:dyDescent="0.25">
      <c r="A17" s="5" t="s">
        <v>373</v>
      </c>
      <c r="B17" s="5" t="s">
        <v>357</v>
      </c>
      <c r="C17" s="5">
        <v>63</v>
      </c>
      <c r="D17" s="20">
        <v>0.46527777777777801</v>
      </c>
      <c r="E17" s="20">
        <v>0.47430555555555598</v>
      </c>
      <c r="F17" s="7">
        <f t="shared" si="0"/>
        <v>13.000000000000274</v>
      </c>
      <c r="G17" s="5">
        <v>7</v>
      </c>
      <c r="H17" s="5" t="str">
        <f t="shared" si="1"/>
        <v>DELAYED</v>
      </c>
    </row>
    <row r="18" spans="1:8" x14ac:dyDescent="0.25">
      <c r="A18" s="9" t="s">
        <v>374</v>
      </c>
      <c r="B18" s="9" t="s">
        <v>359</v>
      </c>
      <c r="C18" s="9">
        <v>36</v>
      </c>
      <c r="D18" s="16">
        <v>0.85277777777777797</v>
      </c>
      <c r="E18" s="16">
        <v>0.85902777777777795</v>
      </c>
      <c r="F18" s="11">
        <f t="shared" si="0"/>
        <v>8.999999999999968</v>
      </c>
      <c r="G18" s="9">
        <v>6</v>
      </c>
      <c r="H18" s="9" t="str">
        <f t="shared" si="1"/>
        <v>DELAYED</v>
      </c>
    </row>
    <row r="19" spans="1:8" x14ac:dyDescent="0.25">
      <c r="A19" s="5" t="s">
        <v>375</v>
      </c>
      <c r="B19" s="5" t="s">
        <v>361</v>
      </c>
      <c r="C19" s="5">
        <v>61</v>
      </c>
      <c r="D19" s="20">
        <v>0.82361111111111096</v>
      </c>
      <c r="E19" s="20">
        <v>0.83125000000000004</v>
      </c>
      <c r="F19" s="7">
        <f t="shared" si="0"/>
        <v>11.000000000000281</v>
      </c>
      <c r="G19" s="5">
        <v>7</v>
      </c>
      <c r="H19" s="5" t="str">
        <f t="shared" si="1"/>
        <v>DELAYED</v>
      </c>
    </row>
    <row r="20" spans="1:8" x14ac:dyDescent="0.25">
      <c r="A20" s="9" t="s">
        <v>376</v>
      </c>
      <c r="B20" s="9" t="s">
        <v>363</v>
      </c>
      <c r="C20" s="9">
        <v>51</v>
      </c>
      <c r="D20" s="16">
        <v>0.86805555555555602</v>
      </c>
      <c r="E20" s="16">
        <v>0.874305555555556</v>
      </c>
      <c r="F20" s="11">
        <f t="shared" si="0"/>
        <v>8.999999999999968</v>
      </c>
      <c r="G20" s="9">
        <v>9</v>
      </c>
      <c r="H20" s="9" t="str">
        <f t="shared" si="1"/>
        <v>On Time</v>
      </c>
    </row>
    <row r="21" spans="1:8" x14ac:dyDescent="0.25">
      <c r="A21" s="5" t="s">
        <v>377</v>
      </c>
      <c r="B21" s="5" t="s">
        <v>365</v>
      </c>
      <c r="C21" s="5">
        <v>45</v>
      </c>
      <c r="D21" s="20">
        <v>0.57708333333333295</v>
      </c>
      <c r="E21" s="20">
        <v>0.58333333333333304</v>
      </c>
      <c r="F21" s="7">
        <f t="shared" si="0"/>
        <v>9.0000000000001279</v>
      </c>
      <c r="G21" s="5">
        <v>9</v>
      </c>
      <c r="H21" s="5" t="str">
        <f t="shared" si="1"/>
        <v>DELAYED</v>
      </c>
    </row>
    <row r="22" spans="1:8" x14ac:dyDescent="0.25">
      <c r="A22" s="9" t="s">
        <v>378</v>
      </c>
      <c r="B22" s="9" t="s">
        <v>355</v>
      </c>
      <c r="C22" s="9">
        <v>62</v>
      </c>
      <c r="D22" s="16">
        <v>0.81666666666666698</v>
      </c>
      <c r="E22" s="16">
        <v>0.82569444444444395</v>
      </c>
      <c r="F22" s="11">
        <f t="shared" si="0"/>
        <v>12.999999999998835</v>
      </c>
      <c r="G22" s="9">
        <v>9</v>
      </c>
      <c r="H22" s="9" t="str">
        <f t="shared" si="1"/>
        <v>DELAYED</v>
      </c>
    </row>
    <row r="23" spans="1:8" x14ac:dyDescent="0.25">
      <c r="A23" s="5" t="s">
        <v>379</v>
      </c>
      <c r="B23" s="5" t="s">
        <v>357</v>
      </c>
      <c r="C23" s="5">
        <v>51</v>
      </c>
      <c r="D23" s="20">
        <v>0.64722222222222203</v>
      </c>
      <c r="E23" s="20">
        <v>0.65625</v>
      </c>
      <c r="F23" s="7">
        <f t="shared" si="0"/>
        <v>13.000000000000274</v>
      </c>
      <c r="G23" s="5">
        <v>10</v>
      </c>
      <c r="H23" s="5" t="str">
        <f t="shared" si="1"/>
        <v>DELAYED</v>
      </c>
    </row>
  </sheetData>
  <autoFilter ref="A3:H23" xr:uid="{00000000-0009-0000-0000-000004000000}"/>
  <mergeCells count="2">
    <mergeCell ref="A1:H1"/>
    <mergeCell ref="A2:H2"/>
  </mergeCells>
  <conditionalFormatting sqref="H4:H23">
    <cfRule type="expression" dxfId="11" priority="2">
      <formula>H4="DELAYED"</formula>
    </cfRule>
    <cfRule type="expression" dxfId="10" priority="3">
      <formula>H4="On Time"</formula>
    </cfRule>
  </conditionalFormatting>
  <dataValidations count="1">
    <dataValidation type="list" allowBlank="1" sqref="B4:B23" xr:uid="{00000000-0002-0000-0400-000000000000}">
      <formula1>"Rice Bowls,Noodles,Snacks,Beverages,Sweets,Wraps"</formula1>
      <formula2>0</formula2>
    </dataValidation>
  </dataValidations>
  <printOptions horizontalCentered="1"/>
  <pageMargins left="0.75" right="0.75" top="1" bottom="1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6600"/>
    <pageSetUpPr fitToPage="1"/>
  </sheetPr>
  <dimension ref="A1:P23"/>
  <sheetViews>
    <sheetView showGridLines="0" zoomScaleNormal="100" workbookViewId="0">
      <pane ySplit="3" topLeftCell="A4" activePane="bottomLeft" state="frozen"/>
      <selection pane="bottomLeft" sqref="A1:M1"/>
    </sheetView>
  </sheetViews>
  <sheetFormatPr defaultColWidth="8.7109375" defaultRowHeight="15" x14ac:dyDescent="0.25"/>
  <cols>
    <col min="1" max="1" width="10" customWidth="1"/>
    <col min="2" max="2" width="16" customWidth="1"/>
    <col min="3" max="3" width="14" customWidth="1"/>
    <col min="4" max="4" width="20" customWidth="1"/>
    <col min="5" max="6" width="12" customWidth="1"/>
    <col min="7" max="7" width="16" customWidth="1"/>
    <col min="8" max="8" width="14" customWidth="1"/>
    <col min="9" max="9" width="10" customWidth="1"/>
    <col min="10" max="13" width="12" customWidth="1"/>
    <col min="14" max="14" width="3" customWidth="1"/>
    <col min="15" max="15" width="20" customWidth="1"/>
    <col min="16" max="16" width="10" customWidth="1"/>
  </cols>
  <sheetData>
    <row r="1" spans="1:16" ht="33.75" customHeight="1" x14ac:dyDescent="0.25">
      <c r="A1" s="27" t="s">
        <v>380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6" ht="18" customHeight="1" x14ac:dyDescent="0.25">
      <c r="A2" s="28" t="s">
        <v>381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6" ht="27.75" customHeight="1" x14ac:dyDescent="0.25">
      <c r="A3" s="13" t="s">
        <v>382</v>
      </c>
      <c r="B3" s="13" t="s">
        <v>383</v>
      </c>
      <c r="C3" s="13" t="s">
        <v>17</v>
      </c>
      <c r="D3" s="13" t="s">
        <v>322</v>
      </c>
      <c r="E3" s="13" t="s">
        <v>384</v>
      </c>
      <c r="F3" s="13" t="s">
        <v>385</v>
      </c>
      <c r="G3" s="13" t="s">
        <v>386</v>
      </c>
      <c r="H3" s="13" t="s">
        <v>387</v>
      </c>
      <c r="I3" s="13" t="s">
        <v>388</v>
      </c>
      <c r="J3" s="13" t="s">
        <v>389</v>
      </c>
      <c r="K3" s="13" t="s">
        <v>390</v>
      </c>
      <c r="L3" s="13" t="s">
        <v>391</v>
      </c>
      <c r="M3" s="13" t="s">
        <v>392</v>
      </c>
      <c r="O3" s="46" t="s">
        <v>393</v>
      </c>
      <c r="P3" s="46"/>
    </row>
    <row r="4" spans="1:16" x14ac:dyDescent="0.25">
      <c r="A4" s="9" t="s">
        <v>54</v>
      </c>
      <c r="B4" s="9" t="s">
        <v>394</v>
      </c>
      <c r="C4" s="9" t="s">
        <v>52</v>
      </c>
      <c r="D4" s="9" t="s">
        <v>330</v>
      </c>
      <c r="E4" s="9">
        <f>COUNTIF('Daily Order Tracker'!$G$4:$G$93,A4)</f>
        <v>6</v>
      </c>
      <c r="F4" s="9">
        <f>COUNTIFS('Daily Order Tracker'!$G$4:$G$93,A4,'Daily Order Tracker'!$N$4:$N$93,"Delivered")</f>
        <v>5</v>
      </c>
      <c r="G4" s="11">
        <f>IFERROR(AVERAGEIFS('Daily Order Tracker'!$M$4:$M$93,'Daily Order Tracker'!$G$4:$G$93,A4,'Daily Order Tracker'!$M$4:$M$93,"&lt;&gt;"),0)</f>
        <v>8.0000000000000675</v>
      </c>
      <c r="H4" s="9">
        <v>53.8</v>
      </c>
      <c r="I4" s="9">
        <v>8.3000000000000007</v>
      </c>
      <c r="J4" s="9">
        <f t="shared" ref="J4:J23" si="0">ROUND(MAX(I4-((G4*F4)/60),0),1)</f>
        <v>7.6</v>
      </c>
      <c r="K4" s="10">
        <f>F4*$P4+L4</f>
        <v>175</v>
      </c>
      <c r="L4" s="10">
        <f t="shared" ref="L4:L23" si="1">IF(F4&gt;=15,300,IF(F4&gt;=10,150,0))</f>
        <v>0</v>
      </c>
      <c r="M4" s="23">
        <f t="shared" ref="M4:M23" si="2">IFERROR(F4/E4,0)</f>
        <v>0.83333333333333337</v>
      </c>
      <c r="O4" s="24" t="s">
        <v>395</v>
      </c>
      <c r="P4" s="25">
        <v>35</v>
      </c>
    </row>
    <row r="5" spans="1:16" x14ac:dyDescent="0.25">
      <c r="A5" s="5" t="s">
        <v>200</v>
      </c>
      <c r="B5" s="5" t="s">
        <v>396</v>
      </c>
      <c r="C5" s="5" t="s">
        <v>52</v>
      </c>
      <c r="D5" s="5" t="s">
        <v>332</v>
      </c>
      <c r="E5" s="5">
        <f>COUNTIF('Daily Order Tracker'!$G$4:$G$93,A5)</f>
        <v>3</v>
      </c>
      <c r="F5" s="5">
        <f>COUNTIFS('Daily Order Tracker'!$G$4:$G$93,A5,'Daily Order Tracker'!$N$4:$N$93,"Delivered")</f>
        <v>3</v>
      </c>
      <c r="G5" s="7">
        <f>IFERROR(AVERAGEIFS('Daily Order Tracker'!$M$4:$M$93,'Daily Order Tracker'!$G$4:$G$93,A5,'Daily Order Tracker'!$M$4:$M$93,"&lt;&gt;"),0)</f>
        <v>15.333333333334052</v>
      </c>
      <c r="H5" s="5">
        <v>47.6</v>
      </c>
      <c r="I5" s="5">
        <v>5.6</v>
      </c>
      <c r="J5" s="5">
        <f t="shared" si="0"/>
        <v>4.8</v>
      </c>
      <c r="K5" s="6">
        <f>F5*$P4+L5</f>
        <v>105</v>
      </c>
      <c r="L5" s="6">
        <f t="shared" si="1"/>
        <v>0</v>
      </c>
      <c r="M5" s="26">
        <f t="shared" si="2"/>
        <v>1</v>
      </c>
      <c r="O5" s="24" t="s">
        <v>397</v>
      </c>
      <c r="P5" s="25">
        <v>20</v>
      </c>
    </row>
    <row r="6" spans="1:16" x14ac:dyDescent="0.25">
      <c r="A6" s="9" t="s">
        <v>169</v>
      </c>
      <c r="B6" s="9" t="s">
        <v>398</v>
      </c>
      <c r="C6" s="9" t="s">
        <v>59</v>
      </c>
      <c r="D6" s="9" t="s">
        <v>334</v>
      </c>
      <c r="E6" s="9">
        <f>COUNTIF('Daily Order Tracker'!$G$4:$G$93,A6)</f>
        <v>3</v>
      </c>
      <c r="F6" s="9">
        <f>COUNTIFS('Daily Order Tracker'!$G$4:$G$93,A6,'Daily Order Tracker'!$N$4:$N$93,"Delivered")</f>
        <v>2</v>
      </c>
      <c r="G6" s="11">
        <f>IFERROR(AVERAGEIFS('Daily Order Tracker'!$M$4:$M$93,'Daily Order Tracker'!$G$4:$G$93,A6,'Daily Order Tracker'!$M$4:$M$93,"&lt;&gt;"),0)</f>
        <v>12.999999999999634</v>
      </c>
      <c r="H6" s="9">
        <v>27.3</v>
      </c>
      <c r="I6" s="9">
        <v>7.6</v>
      </c>
      <c r="J6" s="9">
        <f t="shared" si="0"/>
        <v>7.2</v>
      </c>
      <c r="K6" s="10">
        <f>F6*$P4+L6</f>
        <v>70</v>
      </c>
      <c r="L6" s="10">
        <f t="shared" si="1"/>
        <v>0</v>
      </c>
      <c r="M6" s="23">
        <f t="shared" si="2"/>
        <v>0.66666666666666663</v>
      </c>
    </row>
    <row r="7" spans="1:16" x14ac:dyDescent="0.25">
      <c r="A7" s="5" t="s">
        <v>61</v>
      </c>
      <c r="B7" s="5" t="s">
        <v>399</v>
      </c>
      <c r="C7" s="5" t="s">
        <v>59</v>
      </c>
      <c r="D7" s="5" t="s">
        <v>336</v>
      </c>
      <c r="E7" s="5">
        <f>COUNTIF('Daily Order Tracker'!$G$4:$G$93,A7)</f>
        <v>6</v>
      </c>
      <c r="F7" s="5">
        <f>COUNTIFS('Daily Order Tracker'!$G$4:$G$93,A7,'Daily Order Tracker'!$N$4:$N$93,"Delivered")</f>
        <v>5</v>
      </c>
      <c r="G7" s="7">
        <f>IFERROR(AVERAGEIFS('Daily Order Tracker'!$M$4:$M$93,'Daily Order Tracker'!$G$4:$G$93,A7,'Daily Order Tracker'!$M$4:$M$93,"&lt;&gt;"),0)</f>
        <v>11.400000000000457</v>
      </c>
      <c r="H7" s="5">
        <v>50.3</v>
      </c>
      <c r="I7" s="5">
        <v>7.2</v>
      </c>
      <c r="J7" s="5">
        <f t="shared" si="0"/>
        <v>6.2</v>
      </c>
      <c r="K7" s="6">
        <f>F7*$P4+L7</f>
        <v>175</v>
      </c>
      <c r="L7" s="6">
        <f t="shared" si="1"/>
        <v>0</v>
      </c>
      <c r="M7" s="26">
        <f t="shared" si="2"/>
        <v>0.83333333333333337</v>
      </c>
    </row>
    <row r="8" spans="1:16" x14ac:dyDescent="0.25">
      <c r="A8" s="9" t="s">
        <v>68</v>
      </c>
      <c r="B8" s="9" t="s">
        <v>400</v>
      </c>
      <c r="C8" s="9" t="s">
        <v>66</v>
      </c>
      <c r="D8" s="9" t="s">
        <v>330</v>
      </c>
      <c r="E8" s="9">
        <f>COUNTIF('Daily Order Tracker'!$G$4:$G$93,A8)</f>
        <v>6</v>
      </c>
      <c r="F8" s="9">
        <f>COUNTIFS('Daily Order Tracker'!$G$4:$G$93,A8,'Daily Order Tracker'!$N$4:$N$93,"Delivered")</f>
        <v>4</v>
      </c>
      <c r="G8" s="11">
        <f>IFERROR(AVERAGEIFS('Daily Order Tracker'!$M$4:$M$93,'Daily Order Tracker'!$G$4:$G$93,A8,'Daily Order Tracker'!$M$4:$M$93,"&lt;&gt;"),0)</f>
        <v>11.749999999999998</v>
      </c>
      <c r="H8" s="9">
        <v>21.8</v>
      </c>
      <c r="I8" s="9">
        <v>8.4</v>
      </c>
      <c r="J8" s="9">
        <f t="shared" si="0"/>
        <v>7.6</v>
      </c>
      <c r="K8" s="10">
        <f>F8*$P4+L8</f>
        <v>140</v>
      </c>
      <c r="L8" s="10">
        <f t="shared" si="1"/>
        <v>0</v>
      </c>
      <c r="M8" s="23">
        <f t="shared" si="2"/>
        <v>0.66666666666666663</v>
      </c>
    </row>
    <row r="9" spans="1:16" x14ac:dyDescent="0.25">
      <c r="A9" s="5" t="s">
        <v>172</v>
      </c>
      <c r="B9" s="5" t="s">
        <v>401</v>
      </c>
      <c r="C9" s="5" t="s">
        <v>66</v>
      </c>
      <c r="D9" s="5" t="s">
        <v>332</v>
      </c>
      <c r="E9" s="5">
        <f>COUNTIF('Daily Order Tracker'!$G$4:$G$93,A9)</f>
        <v>3</v>
      </c>
      <c r="F9" s="5">
        <f>COUNTIFS('Daily Order Tracker'!$G$4:$G$93,A9,'Daily Order Tracker'!$N$4:$N$93,"Delivered")</f>
        <v>3</v>
      </c>
      <c r="G9" s="7">
        <f>IFERROR(AVERAGEIFS('Daily Order Tracker'!$M$4:$M$93,'Daily Order Tracker'!$G$4:$G$93,A9,'Daily Order Tracker'!$M$4:$M$93,"&lt;&gt;"),0)</f>
        <v>12.999999999999794</v>
      </c>
      <c r="H9" s="5">
        <v>49.5</v>
      </c>
      <c r="I9" s="5">
        <v>6.1</v>
      </c>
      <c r="J9" s="5">
        <f t="shared" si="0"/>
        <v>5.5</v>
      </c>
      <c r="K9" s="6">
        <f>F9*$P4+L9</f>
        <v>105</v>
      </c>
      <c r="L9" s="6">
        <f t="shared" si="1"/>
        <v>0</v>
      </c>
      <c r="M9" s="26">
        <f t="shared" si="2"/>
        <v>1</v>
      </c>
    </row>
    <row r="10" spans="1:16" x14ac:dyDescent="0.25">
      <c r="A10" s="9" t="s">
        <v>176</v>
      </c>
      <c r="B10" s="9" t="s">
        <v>402</v>
      </c>
      <c r="C10" s="9" t="s">
        <v>73</v>
      </c>
      <c r="D10" s="9" t="s">
        <v>334</v>
      </c>
      <c r="E10" s="9">
        <f>COUNTIF('Daily Order Tracker'!$G$4:$G$93,A10)</f>
        <v>3</v>
      </c>
      <c r="F10" s="9">
        <f>COUNTIFS('Daily Order Tracker'!$G$4:$G$93,A10,'Daily Order Tracker'!$N$4:$N$93,"Delivered")</f>
        <v>3</v>
      </c>
      <c r="G10" s="11">
        <f>IFERROR(AVERAGEIFS('Daily Order Tracker'!$M$4:$M$93,'Daily Order Tracker'!$G$4:$G$93,A10,'Daily Order Tracker'!$M$4:$M$93,"&lt;&gt;"),0)</f>
        <v>11.666666666666359</v>
      </c>
      <c r="H10" s="9">
        <v>46.2</v>
      </c>
      <c r="I10" s="9">
        <v>6.1</v>
      </c>
      <c r="J10" s="9">
        <f t="shared" si="0"/>
        <v>5.5</v>
      </c>
      <c r="K10" s="10">
        <f>F10*$P4+L10</f>
        <v>105</v>
      </c>
      <c r="L10" s="10">
        <f t="shared" si="1"/>
        <v>0</v>
      </c>
      <c r="M10" s="23">
        <f t="shared" si="2"/>
        <v>1</v>
      </c>
    </row>
    <row r="11" spans="1:16" x14ac:dyDescent="0.25">
      <c r="A11" s="5" t="s">
        <v>75</v>
      </c>
      <c r="B11" s="5" t="s">
        <v>403</v>
      </c>
      <c r="C11" s="5" t="s">
        <v>73</v>
      </c>
      <c r="D11" s="5" t="s">
        <v>336</v>
      </c>
      <c r="E11" s="5">
        <f>COUNTIF('Daily Order Tracker'!$G$4:$G$93,A11)</f>
        <v>6</v>
      </c>
      <c r="F11" s="5">
        <f>COUNTIFS('Daily Order Tracker'!$G$4:$G$93,A11,'Daily Order Tracker'!$N$4:$N$93,"Delivered")</f>
        <v>4</v>
      </c>
      <c r="G11" s="7">
        <f>IFERROR(AVERAGEIFS('Daily Order Tracker'!$M$4:$M$93,'Daily Order Tracker'!$G$4:$G$93,A11,'Daily Order Tracker'!$M$4:$M$93,"&lt;&gt;"),0)</f>
        <v>11.999999999999858</v>
      </c>
      <c r="H11" s="5">
        <v>51.5</v>
      </c>
      <c r="I11" s="5">
        <v>5.6</v>
      </c>
      <c r="J11" s="5">
        <f t="shared" si="0"/>
        <v>4.8</v>
      </c>
      <c r="K11" s="6">
        <f>F11*$P4+L11</f>
        <v>140</v>
      </c>
      <c r="L11" s="6">
        <f t="shared" si="1"/>
        <v>0</v>
      </c>
      <c r="M11" s="26">
        <f t="shared" si="2"/>
        <v>0.66666666666666663</v>
      </c>
    </row>
    <row r="12" spans="1:16" x14ac:dyDescent="0.25">
      <c r="A12" s="9" t="s">
        <v>82</v>
      </c>
      <c r="B12" s="9" t="s">
        <v>404</v>
      </c>
      <c r="C12" s="9" t="s">
        <v>80</v>
      </c>
      <c r="D12" s="9" t="s">
        <v>330</v>
      </c>
      <c r="E12" s="9">
        <f>COUNTIF('Daily Order Tracker'!$G$4:$G$93,A12)</f>
        <v>6</v>
      </c>
      <c r="F12" s="9">
        <f>COUNTIFS('Daily Order Tracker'!$G$4:$G$93,A12,'Daily Order Tracker'!$N$4:$N$93,"Delivered")</f>
        <v>5</v>
      </c>
      <c r="G12" s="11">
        <f>IFERROR(AVERAGEIFS('Daily Order Tracker'!$M$4:$M$93,'Daily Order Tracker'!$G$4:$G$93,A12,'Daily Order Tracker'!$M$4:$M$93,"&lt;&gt;"),0)</f>
        <v>12.200000000000596</v>
      </c>
      <c r="H12" s="9">
        <v>34.200000000000003</v>
      </c>
      <c r="I12" s="9">
        <v>8.8000000000000007</v>
      </c>
      <c r="J12" s="9">
        <f t="shared" si="0"/>
        <v>7.8</v>
      </c>
      <c r="K12" s="10">
        <f>F12*$P4+L12</f>
        <v>175</v>
      </c>
      <c r="L12" s="10">
        <f t="shared" si="1"/>
        <v>0</v>
      </c>
      <c r="M12" s="23">
        <f t="shared" si="2"/>
        <v>0.83333333333333337</v>
      </c>
    </row>
    <row r="13" spans="1:16" x14ac:dyDescent="0.25">
      <c r="A13" s="5" t="s">
        <v>180</v>
      </c>
      <c r="B13" s="5" t="s">
        <v>405</v>
      </c>
      <c r="C13" s="5" t="s">
        <v>80</v>
      </c>
      <c r="D13" s="5" t="s">
        <v>332</v>
      </c>
      <c r="E13" s="5">
        <f>COUNTIF('Daily Order Tracker'!$G$4:$G$93,A13)</f>
        <v>3</v>
      </c>
      <c r="F13" s="5">
        <f>COUNTIFS('Daily Order Tracker'!$G$4:$G$93,A13,'Daily Order Tracker'!$N$4:$N$93,"Delivered")</f>
        <v>3</v>
      </c>
      <c r="G13" s="7">
        <f>IFERROR(AVERAGEIFS('Daily Order Tracker'!$M$4:$M$93,'Daily Order Tracker'!$G$4:$G$93,A13,'Daily Order Tracker'!$M$4:$M$93,"&lt;&gt;"),0)</f>
        <v>14.333333333333309</v>
      </c>
      <c r="H13" s="5">
        <v>26.2</v>
      </c>
      <c r="I13" s="5">
        <v>6.8</v>
      </c>
      <c r="J13" s="5">
        <f t="shared" si="0"/>
        <v>6.1</v>
      </c>
      <c r="K13" s="6">
        <f>F13*$P4+L13</f>
        <v>105</v>
      </c>
      <c r="L13" s="6">
        <f t="shared" si="1"/>
        <v>0</v>
      </c>
      <c r="M13" s="26">
        <f t="shared" si="2"/>
        <v>1</v>
      </c>
    </row>
    <row r="14" spans="1:16" x14ac:dyDescent="0.25">
      <c r="A14" s="9" t="s">
        <v>183</v>
      </c>
      <c r="B14" s="9" t="s">
        <v>406</v>
      </c>
      <c r="C14" s="9" t="s">
        <v>85</v>
      </c>
      <c r="D14" s="9" t="s">
        <v>334</v>
      </c>
      <c r="E14" s="9">
        <f>COUNTIF('Daily Order Tracker'!$G$4:$G$93,A14)</f>
        <v>3</v>
      </c>
      <c r="F14" s="9">
        <f>COUNTIFS('Daily Order Tracker'!$G$4:$G$93,A14,'Daily Order Tracker'!$N$4:$N$93,"Delivered")</f>
        <v>2</v>
      </c>
      <c r="G14" s="11">
        <f>IFERROR(AVERAGEIFS('Daily Order Tracker'!$M$4:$M$93,'Daily Order Tracker'!$G$4:$G$93,A14,'Daily Order Tracker'!$M$4:$M$93,"&lt;&gt;"),0)</f>
        <v>10.999999999999442</v>
      </c>
      <c r="H14" s="9">
        <v>30.9</v>
      </c>
      <c r="I14" s="9">
        <v>5.0999999999999996</v>
      </c>
      <c r="J14" s="9">
        <f t="shared" si="0"/>
        <v>4.7</v>
      </c>
      <c r="K14" s="10">
        <f>F14*$P4+L14</f>
        <v>70</v>
      </c>
      <c r="L14" s="10">
        <f t="shared" si="1"/>
        <v>0</v>
      </c>
      <c r="M14" s="23">
        <f t="shared" si="2"/>
        <v>0.66666666666666663</v>
      </c>
    </row>
    <row r="15" spans="1:16" x14ac:dyDescent="0.25">
      <c r="A15" s="5" t="s">
        <v>87</v>
      </c>
      <c r="B15" s="5" t="s">
        <v>407</v>
      </c>
      <c r="C15" s="5" t="s">
        <v>85</v>
      </c>
      <c r="D15" s="5" t="s">
        <v>336</v>
      </c>
      <c r="E15" s="5">
        <f>COUNTIF('Daily Order Tracker'!$G$4:$G$93,A15)</f>
        <v>6</v>
      </c>
      <c r="F15" s="5">
        <f>COUNTIFS('Daily Order Tracker'!$G$4:$G$93,A15,'Daily Order Tracker'!$N$4:$N$93,"Delivered")</f>
        <v>3</v>
      </c>
      <c r="G15" s="7">
        <f>IFERROR(AVERAGEIFS('Daily Order Tracker'!$M$4:$M$93,'Daily Order Tracker'!$G$4:$G$93,A15,'Daily Order Tracker'!$M$4:$M$93,"&lt;&gt;"),0)</f>
        <v>10.333333333333909</v>
      </c>
      <c r="H15" s="5">
        <v>20</v>
      </c>
      <c r="I15" s="5">
        <v>7</v>
      </c>
      <c r="J15" s="5">
        <f t="shared" si="0"/>
        <v>6.5</v>
      </c>
      <c r="K15" s="6">
        <f>F15*$P4+L15</f>
        <v>105</v>
      </c>
      <c r="L15" s="6">
        <f t="shared" si="1"/>
        <v>0</v>
      </c>
      <c r="M15" s="26">
        <f t="shared" si="2"/>
        <v>0.5</v>
      </c>
    </row>
    <row r="16" spans="1:16" x14ac:dyDescent="0.25">
      <c r="A16" s="9" t="s">
        <v>93</v>
      </c>
      <c r="B16" s="9" t="s">
        <v>408</v>
      </c>
      <c r="C16" s="9" t="s">
        <v>91</v>
      </c>
      <c r="D16" s="9" t="s">
        <v>330</v>
      </c>
      <c r="E16" s="9">
        <f>COUNTIF('Daily Order Tracker'!$G$4:$G$93,A16)</f>
        <v>6</v>
      </c>
      <c r="F16" s="9">
        <f>COUNTIFS('Daily Order Tracker'!$G$4:$G$93,A16,'Daily Order Tracker'!$N$4:$N$93,"Delivered")</f>
        <v>4</v>
      </c>
      <c r="G16" s="11">
        <f>IFERROR(AVERAGEIFS('Daily Order Tracker'!$M$4:$M$93,'Daily Order Tracker'!$G$4:$G$93,A16,'Daily Order Tracker'!$M$4:$M$93,"&lt;&gt;"),0)</f>
        <v>13.250000000000473</v>
      </c>
      <c r="H16" s="9">
        <v>26.7</v>
      </c>
      <c r="I16" s="9">
        <v>9</v>
      </c>
      <c r="J16" s="9">
        <f t="shared" si="0"/>
        <v>8.1</v>
      </c>
      <c r="K16" s="10">
        <f>F16*$P4+L16</f>
        <v>140</v>
      </c>
      <c r="L16" s="10">
        <f t="shared" si="1"/>
        <v>0</v>
      </c>
      <c r="M16" s="23">
        <f t="shared" si="2"/>
        <v>0.66666666666666663</v>
      </c>
    </row>
    <row r="17" spans="1:13" x14ac:dyDescent="0.25">
      <c r="A17" s="5" t="s">
        <v>186</v>
      </c>
      <c r="B17" s="5" t="s">
        <v>409</v>
      </c>
      <c r="C17" s="5" t="s">
        <v>91</v>
      </c>
      <c r="D17" s="5" t="s">
        <v>332</v>
      </c>
      <c r="E17" s="5">
        <f>COUNTIF('Daily Order Tracker'!$G$4:$G$93,A17)</f>
        <v>3</v>
      </c>
      <c r="F17" s="5">
        <f>COUNTIFS('Daily Order Tracker'!$G$4:$G$93,A17,'Daily Order Tracker'!$N$4:$N$93,"Delivered")</f>
        <v>3</v>
      </c>
      <c r="G17" s="7">
        <f>IFERROR(AVERAGEIFS('Daily Order Tracker'!$M$4:$M$93,'Daily Order Tracker'!$G$4:$G$93,A17,'Daily Order Tracker'!$M$4:$M$93,"&lt;&gt;"),0)</f>
        <v>10.666666666666602</v>
      </c>
      <c r="H17" s="5">
        <v>31.9</v>
      </c>
      <c r="I17" s="5">
        <v>5.0999999999999996</v>
      </c>
      <c r="J17" s="5">
        <f t="shared" si="0"/>
        <v>4.5999999999999996</v>
      </c>
      <c r="K17" s="6">
        <f>F17*$P4+L17</f>
        <v>105</v>
      </c>
      <c r="L17" s="6">
        <f t="shared" si="1"/>
        <v>0</v>
      </c>
      <c r="M17" s="26">
        <f t="shared" si="2"/>
        <v>1</v>
      </c>
    </row>
    <row r="18" spans="1:13" x14ac:dyDescent="0.25">
      <c r="A18" s="9" t="s">
        <v>190</v>
      </c>
      <c r="B18" s="9" t="s">
        <v>410</v>
      </c>
      <c r="C18" s="9" t="s">
        <v>98</v>
      </c>
      <c r="D18" s="9" t="s">
        <v>334</v>
      </c>
      <c r="E18" s="9">
        <f>COUNTIF('Daily Order Tracker'!$G$4:$G$93,A18)</f>
        <v>3</v>
      </c>
      <c r="F18" s="9">
        <f>COUNTIFS('Daily Order Tracker'!$G$4:$G$93,A18,'Daily Order Tracker'!$N$4:$N$93,"Delivered")</f>
        <v>3</v>
      </c>
      <c r="G18" s="11">
        <f>IFERROR(AVERAGEIFS('Daily Order Tracker'!$M$4:$M$93,'Daily Order Tracker'!$G$4:$G$93,A18,'Daily Order Tracker'!$M$4:$M$93,"&lt;&gt;"),0)</f>
        <v>14.333333333333229</v>
      </c>
      <c r="H18" s="9">
        <v>52.4</v>
      </c>
      <c r="I18" s="9">
        <v>8.4</v>
      </c>
      <c r="J18" s="9">
        <f t="shared" si="0"/>
        <v>7.7</v>
      </c>
      <c r="K18" s="10">
        <f>F18*$P4+L18</f>
        <v>105</v>
      </c>
      <c r="L18" s="10">
        <f t="shared" si="1"/>
        <v>0</v>
      </c>
      <c r="M18" s="23">
        <f t="shared" si="2"/>
        <v>1</v>
      </c>
    </row>
    <row r="19" spans="1:13" x14ac:dyDescent="0.25">
      <c r="A19" s="5" t="s">
        <v>100</v>
      </c>
      <c r="B19" s="5" t="s">
        <v>411</v>
      </c>
      <c r="C19" s="5" t="s">
        <v>98</v>
      </c>
      <c r="D19" s="5" t="s">
        <v>336</v>
      </c>
      <c r="E19" s="5">
        <f>COUNTIF('Daily Order Tracker'!$G$4:$G$93,A19)</f>
        <v>6</v>
      </c>
      <c r="F19" s="5">
        <f>COUNTIFS('Daily Order Tracker'!$G$4:$G$93,A19,'Daily Order Tracker'!$N$4:$N$93,"Delivered")</f>
        <v>5</v>
      </c>
      <c r="G19" s="7">
        <f>IFERROR(AVERAGEIFS('Daily Order Tracker'!$M$4:$M$93,'Daily Order Tracker'!$G$4:$G$93,A19,'Daily Order Tracker'!$M$4:$M$93,"&lt;&gt;"),0)</f>
        <v>12.199999999999957</v>
      </c>
      <c r="H19" s="5">
        <v>42</v>
      </c>
      <c r="I19" s="5">
        <v>8.1999999999999993</v>
      </c>
      <c r="J19" s="5">
        <f t="shared" si="0"/>
        <v>7.2</v>
      </c>
      <c r="K19" s="6">
        <f>F19*$P4+L19</f>
        <v>175</v>
      </c>
      <c r="L19" s="6">
        <f t="shared" si="1"/>
        <v>0</v>
      </c>
      <c r="M19" s="26">
        <f t="shared" si="2"/>
        <v>0.83333333333333337</v>
      </c>
    </row>
    <row r="20" spans="1:13" x14ac:dyDescent="0.25">
      <c r="A20" s="9" t="s">
        <v>106</v>
      </c>
      <c r="B20" s="9" t="s">
        <v>412</v>
      </c>
      <c r="C20" s="9" t="s">
        <v>104</v>
      </c>
      <c r="D20" s="9" t="s">
        <v>330</v>
      </c>
      <c r="E20" s="9">
        <f>COUNTIF('Daily Order Tracker'!$G$4:$G$93,A20)</f>
        <v>6</v>
      </c>
      <c r="F20" s="9">
        <f>COUNTIFS('Daily Order Tracker'!$G$4:$G$93,A20,'Daily Order Tracker'!$N$4:$N$93,"Delivered")</f>
        <v>5</v>
      </c>
      <c r="G20" s="11">
        <f>IFERROR(AVERAGEIFS('Daily Order Tracker'!$M$4:$M$93,'Daily Order Tracker'!$G$4:$G$93,A20,'Daily Order Tracker'!$M$4:$M$93,"&lt;&gt;"),0)</f>
        <v>9.9999999999999627</v>
      </c>
      <c r="H20" s="9">
        <v>23.1</v>
      </c>
      <c r="I20" s="9">
        <v>6.1</v>
      </c>
      <c r="J20" s="9">
        <f t="shared" si="0"/>
        <v>5.3</v>
      </c>
      <c r="K20" s="10">
        <f>F20*$P4+L20</f>
        <v>175</v>
      </c>
      <c r="L20" s="10">
        <f t="shared" si="1"/>
        <v>0</v>
      </c>
      <c r="M20" s="23">
        <f t="shared" si="2"/>
        <v>0.83333333333333337</v>
      </c>
    </row>
    <row r="21" spans="1:13" x14ac:dyDescent="0.25">
      <c r="A21" s="5" t="s">
        <v>193</v>
      </c>
      <c r="B21" s="5" t="s">
        <v>413</v>
      </c>
      <c r="C21" s="5" t="s">
        <v>104</v>
      </c>
      <c r="D21" s="5" t="s">
        <v>332</v>
      </c>
      <c r="E21" s="5">
        <f>COUNTIF('Daily Order Tracker'!$G$4:$G$93,A21)</f>
        <v>3</v>
      </c>
      <c r="F21" s="5">
        <f>COUNTIFS('Daily Order Tracker'!$G$4:$G$93,A21,'Daily Order Tracker'!$N$4:$N$93,"Delivered")</f>
        <v>3</v>
      </c>
      <c r="G21" s="7">
        <f>IFERROR(AVERAGEIFS('Daily Order Tracker'!$M$4:$M$93,'Daily Order Tracker'!$G$4:$G$93,A21,'Daily Order Tracker'!$M$4:$M$93,"&lt;&gt;"),0)</f>
        <v>12.999999999999368</v>
      </c>
      <c r="H21" s="5">
        <v>48.7</v>
      </c>
      <c r="I21" s="5">
        <v>7.8</v>
      </c>
      <c r="J21" s="5">
        <f t="shared" si="0"/>
        <v>7.2</v>
      </c>
      <c r="K21" s="6">
        <f>F21*$P4+L21</f>
        <v>105</v>
      </c>
      <c r="L21" s="6">
        <f t="shared" si="1"/>
        <v>0</v>
      </c>
      <c r="M21" s="26">
        <f t="shared" si="2"/>
        <v>1</v>
      </c>
    </row>
    <row r="22" spans="1:13" x14ac:dyDescent="0.25">
      <c r="A22" s="9" t="s">
        <v>196</v>
      </c>
      <c r="B22" s="9" t="s">
        <v>414</v>
      </c>
      <c r="C22" s="9" t="s">
        <v>111</v>
      </c>
      <c r="D22" s="9" t="s">
        <v>334</v>
      </c>
      <c r="E22" s="9">
        <f>COUNTIF('Daily Order Tracker'!$G$4:$G$93,A22)</f>
        <v>3</v>
      </c>
      <c r="F22" s="9">
        <f>COUNTIFS('Daily Order Tracker'!$G$4:$G$93,A22,'Daily Order Tracker'!$N$4:$N$93,"Delivered")</f>
        <v>2</v>
      </c>
      <c r="G22" s="11">
        <f>IFERROR(AVERAGEIFS('Daily Order Tracker'!$M$4:$M$93,'Daily Order Tracker'!$G$4:$G$93,A22,'Daily Order Tracker'!$M$4:$M$93,"&lt;&gt;"),0)</f>
        <v>10.000000000000044</v>
      </c>
      <c r="H22" s="9">
        <v>23.1</v>
      </c>
      <c r="I22" s="9">
        <v>7.8</v>
      </c>
      <c r="J22" s="9">
        <f t="shared" si="0"/>
        <v>7.5</v>
      </c>
      <c r="K22" s="10">
        <f>F22*$P4+L22</f>
        <v>70</v>
      </c>
      <c r="L22" s="10">
        <f t="shared" si="1"/>
        <v>0</v>
      </c>
      <c r="M22" s="23">
        <f t="shared" si="2"/>
        <v>0.66666666666666663</v>
      </c>
    </row>
    <row r="23" spans="1:13" x14ac:dyDescent="0.25">
      <c r="A23" s="5" t="s">
        <v>113</v>
      </c>
      <c r="B23" s="5" t="s">
        <v>415</v>
      </c>
      <c r="C23" s="5" t="s">
        <v>111</v>
      </c>
      <c r="D23" s="5" t="s">
        <v>336</v>
      </c>
      <c r="E23" s="5">
        <f>COUNTIF('Daily Order Tracker'!$G$4:$G$93,A23)</f>
        <v>6</v>
      </c>
      <c r="F23" s="5">
        <f>COUNTIFS('Daily Order Tracker'!$G$4:$G$93,A23,'Daily Order Tracker'!$N$4:$N$93,"Delivered")</f>
        <v>5</v>
      </c>
      <c r="G23" s="7">
        <f>IFERROR(AVERAGEIFS('Daily Order Tracker'!$M$4:$M$93,'Daily Order Tracker'!$G$4:$G$93,A23,'Daily Order Tracker'!$M$4:$M$93,"&lt;&gt;"),0)</f>
        <v>12.399999999999812</v>
      </c>
      <c r="H23" s="5">
        <v>34.6</v>
      </c>
      <c r="I23" s="5">
        <v>5</v>
      </c>
      <c r="J23" s="5">
        <f t="shared" si="0"/>
        <v>4</v>
      </c>
      <c r="K23" s="6">
        <f>F23*$P4+L23</f>
        <v>175</v>
      </c>
      <c r="L23" s="6">
        <f t="shared" si="1"/>
        <v>0</v>
      </c>
      <c r="M23" s="26">
        <f t="shared" si="2"/>
        <v>0.83333333333333337</v>
      </c>
    </row>
  </sheetData>
  <autoFilter ref="A3:M23" xr:uid="{00000000-0009-0000-0000-000005000000}"/>
  <mergeCells count="3">
    <mergeCell ref="A1:M1"/>
    <mergeCell ref="A2:M2"/>
    <mergeCell ref="O3:P3"/>
  </mergeCells>
  <conditionalFormatting sqref="J4:J23">
    <cfRule type="dataBar" priority="3">
      <dataBar>
        <cfvo type="min"/>
        <cfvo type="max"/>
        <color rgb="FF1F4E9C"/>
      </dataBar>
      <extLst>
        <ext xmlns:x14="http://schemas.microsoft.com/office/spreadsheetml/2009/9/main" uri="{B025F937-C7B1-47D3-B67F-A62EFF666E3E}">
          <x14:id>{E79F6BE0-6C45-45D7-9AF0-E9F450871BF7}</x14:id>
        </ext>
      </extLst>
    </cfRule>
  </conditionalFormatting>
  <conditionalFormatting sqref="M4:M2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75" right="0.75" top="1" bottom="1" header="0.511811023622047" footer="0.511811023622047"/>
  <pageSetup paperSize="9"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9F6BE0-6C45-45D7-9AF0-E9F450871BF7}">
            <x14:dataBar axisPosition="none">
              <x14:cfvo type="min"/>
              <x14:cfvo type="max"/>
              <x14:negativeFillColor rgb="FF1F4E9C"/>
            </x14:dataBar>
          </x14:cfRule>
          <xm:sqref>J4:J23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6600"/>
    <pageSetUpPr fitToPage="1"/>
  </sheetPr>
  <dimension ref="A1:I13"/>
  <sheetViews>
    <sheetView showGridLines="0" zoomScaleNormal="100" workbookViewId="0">
      <pane ySplit="3" topLeftCell="A4" activePane="bottomLeft" state="frozen"/>
      <selection pane="bottomLeft" sqref="A1:I1"/>
    </sheetView>
  </sheetViews>
  <sheetFormatPr defaultColWidth="8.7109375" defaultRowHeight="15" x14ac:dyDescent="0.25"/>
  <cols>
    <col min="1" max="1" width="16" customWidth="1"/>
    <col min="2" max="2" width="10" customWidth="1"/>
    <col min="3" max="3" width="14" customWidth="1"/>
    <col min="4" max="4" width="16" customWidth="1"/>
    <col min="5" max="5" width="14" customWidth="1"/>
    <col min="6" max="6" width="12" customWidth="1"/>
    <col min="7" max="9" width="14" customWidth="1"/>
  </cols>
  <sheetData>
    <row r="1" spans="1:9" ht="33.75" customHeight="1" x14ac:dyDescent="0.25">
      <c r="A1" s="27" t="s">
        <v>416</v>
      </c>
      <c r="B1" s="27"/>
      <c r="C1" s="27"/>
      <c r="D1" s="27"/>
      <c r="E1" s="27"/>
      <c r="F1" s="27"/>
      <c r="G1" s="27"/>
      <c r="H1" s="27"/>
      <c r="I1" s="27"/>
    </row>
    <row r="2" spans="1:9" ht="18" customHeight="1" x14ac:dyDescent="0.25">
      <c r="A2" s="28" t="s">
        <v>417</v>
      </c>
      <c r="B2" s="28"/>
      <c r="C2" s="28"/>
      <c r="D2" s="28"/>
      <c r="E2" s="28"/>
      <c r="F2" s="28"/>
      <c r="G2" s="28"/>
      <c r="H2" s="28"/>
      <c r="I2" s="28"/>
    </row>
    <row r="3" spans="1:9" ht="27.75" customHeight="1" x14ac:dyDescent="0.25">
      <c r="A3" s="13" t="s">
        <v>17</v>
      </c>
      <c r="B3" s="13" t="s">
        <v>18</v>
      </c>
      <c r="C3" s="13" t="s">
        <v>19</v>
      </c>
      <c r="D3" s="13" t="s">
        <v>418</v>
      </c>
      <c r="E3" s="13" t="s">
        <v>419</v>
      </c>
      <c r="F3" s="13" t="s">
        <v>420</v>
      </c>
      <c r="G3" s="13" t="s">
        <v>421</v>
      </c>
      <c r="H3" s="13" t="s">
        <v>422</v>
      </c>
      <c r="I3" s="13" t="s">
        <v>423</v>
      </c>
    </row>
    <row r="4" spans="1:9" x14ac:dyDescent="0.25">
      <c r="A4" s="9" t="s">
        <v>52</v>
      </c>
      <c r="B4" s="9">
        <f>COUNTIF('Daily Order Tracker'!$E$4:$E$93,A4)</f>
        <v>9</v>
      </c>
      <c r="C4" s="10">
        <f>SUMIFS('Daily Order Tracker'!$P$4:$P$93,'Daily Order Tracker'!$E$4:$E$93,A4,'Daily Order Tracker'!$N$4:$N$93,"Delivered")</f>
        <v>3300</v>
      </c>
      <c r="D4" s="11">
        <f>IFERROR(AVERAGEIFS('Daily Order Tracker'!$M$4:$M$93,'Daily Order Tracker'!$E$4:$E$93,A4,'Daily Order Tracker'!$M$4:$M$93,"&lt;&gt;"),0)</f>
        <v>10.750000000000313</v>
      </c>
      <c r="E4" s="11">
        <f>IFERROR(AVERAGEIFS('Daily Order Tracker'!$Q$4:$Q$93,'Daily Order Tracker'!$E$4:$E$93,A4,'Daily Order Tracker'!$Q$4:$Q$93,"&lt;&gt;"),0)</f>
        <v>4.8749999999999325</v>
      </c>
      <c r="F4" s="9">
        <f>COUNTIF('Rider Performance Tracker'!$C$4:$C$23,A4)</f>
        <v>2</v>
      </c>
      <c r="G4" s="9">
        <f>COUNTIF('Kitchen Operations Tracker'!$B$4:$B$13,A4)</f>
        <v>1</v>
      </c>
      <c r="H4" s="12">
        <f>IFERROR(COUNTIFS('Daily Order Tracker'!$E$4:$E$93,A4,'Daily Order Tracker'!$N$4:$N$93,"Cancelled")/B4,0)</f>
        <v>0</v>
      </c>
      <c r="I4" s="9">
        <v>4</v>
      </c>
    </row>
    <row r="5" spans="1:9" x14ac:dyDescent="0.25">
      <c r="A5" s="5" t="s">
        <v>59</v>
      </c>
      <c r="B5" s="5">
        <f>COUNTIF('Daily Order Tracker'!$E$4:$E$93,A5)</f>
        <v>9</v>
      </c>
      <c r="C5" s="6">
        <f>SUMIFS('Daily Order Tracker'!$P$4:$P$93,'Daily Order Tracker'!$E$4:$E$93,A5,'Daily Order Tracker'!$N$4:$N$93,"Delivered")</f>
        <v>3262</v>
      </c>
      <c r="D5" s="7">
        <f>IFERROR(AVERAGEIFS('Daily Order Tracker'!$M$4:$M$93,'Daily Order Tracker'!$E$4:$E$93,A5,'Daily Order Tracker'!$M$4:$M$93,"&lt;&gt;"),0)</f>
        <v>11.857142857143076</v>
      </c>
      <c r="E5" s="7">
        <f>IFERROR(AVERAGEIFS('Daily Order Tracker'!$Q$4:$Q$93,'Daily Order Tracker'!$E$4:$E$93,A5,'Daily Order Tracker'!$Q$4:$Q$93,"&lt;&gt;"),0)</f>
        <v>6.5000000000001457</v>
      </c>
      <c r="F5" s="5">
        <f>COUNTIF('Rider Performance Tracker'!$C$4:$C$23,A5)</f>
        <v>2</v>
      </c>
      <c r="G5" s="5">
        <f>COUNTIF('Kitchen Operations Tracker'!$B$4:$B$13,A5)</f>
        <v>1</v>
      </c>
      <c r="H5" s="8">
        <f>IFERROR(COUNTIFS('Daily Order Tracker'!$E$4:$E$93,A5,'Daily Order Tracker'!$N$4:$N$93,"Cancelled")/B5,0)</f>
        <v>0.1111111111111111</v>
      </c>
      <c r="I5" s="5">
        <v>4.2</v>
      </c>
    </row>
    <row r="6" spans="1:9" x14ac:dyDescent="0.25">
      <c r="A6" s="9" t="s">
        <v>66</v>
      </c>
      <c r="B6" s="9">
        <f>COUNTIF('Daily Order Tracker'!$E$4:$E$93,A6)</f>
        <v>9</v>
      </c>
      <c r="C6" s="10">
        <f>SUMIFS('Daily Order Tracker'!$P$4:$P$93,'Daily Order Tracker'!$E$4:$E$93,A6,'Daily Order Tracker'!$N$4:$N$93,"Delivered")</f>
        <v>3017</v>
      </c>
      <c r="D6" s="11">
        <f>IFERROR(AVERAGEIFS('Daily Order Tracker'!$M$4:$M$93,'Daily Order Tracker'!$E$4:$E$93,A6,'Daily Order Tracker'!$M$4:$M$93,"&lt;&gt;"),0)</f>
        <v>12.285714285714196</v>
      </c>
      <c r="E6" s="11">
        <f>IFERROR(AVERAGEIFS('Daily Order Tracker'!$Q$4:$Q$93,'Daily Order Tracker'!$E$4:$E$93,A6,'Daily Order Tracker'!$Q$4:$Q$93,"&lt;&gt;"),0)</f>
        <v>5.7142857142851238</v>
      </c>
      <c r="F6" s="9">
        <f>COUNTIF('Rider Performance Tracker'!$C$4:$C$23,A6)</f>
        <v>2</v>
      </c>
      <c r="G6" s="9">
        <f>COUNTIF('Kitchen Operations Tracker'!$B$4:$B$13,A6)</f>
        <v>1</v>
      </c>
      <c r="H6" s="12">
        <f>IFERROR(COUNTIFS('Daily Order Tracker'!$E$4:$E$93,A6,'Daily Order Tracker'!$N$4:$N$93,"Cancelled")/B6,0)</f>
        <v>0.22222222222222221</v>
      </c>
      <c r="I6" s="9">
        <v>4.7</v>
      </c>
    </row>
    <row r="7" spans="1:9" x14ac:dyDescent="0.25">
      <c r="A7" s="5" t="s">
        <v>73</v>
      </c>
      <c r="B7" s="5">
        <f>COUNTIF('Daily Order Tracker'!$E$4:$E$93,A7)</f>
        <v>9</v>
      </c>
      <c r="C7" s="6">
        <f>SUMIFS('Daily Order Tracker'!$P$4:$P$93,'Daily Order Tracker'!$E$4:$E$93,A7,'Daily Order Tracker'!$N$4:$N$93,"Delivered")</f>
        <v>2851</v>
      </c>
      <c r="D7" s="7">
        <f>IFERROR(AVERAGEIFS('Daily Order Tracker'!$M$4:$M$93,'Daily Order Tracker'!$E$4:$E$93,A7,'Daily Order Tracker'!$M$4:$M$93,"&lt;&gt;"),0)</f>
        <v>11.857142857142644</v>
      </c>
      <c r="E7" s="7">
        <f>IFERROR(AVERAGEIFS('Daily Order Tracker'!$Q$4:$Q$93,'Daily Order Tracker'!$E$4:$E$93,A7,'Daily Order Tracker'!$Q$4:$Q$93,"&lt;&gt;"),0)</f>
        <v>6.2857142857143655</v>
      </c>
      <c r="F7" s="5">
        <f>COUNTIF('Rider Performance Tracker'!$C$4:$C$23,A7)</f>
        <v>2</v>
      </c>
      <c r="G7" s="5">
        <f>COUNTIF('Kitchen Operations Tracker'!$B$4:$B$13,A7)</f>
        <v>1</v>
      </c>
      <c r="H7" s="8">
        <f>IFERROR(COUNTIFS('Daily Order Tracker'!$E$4:$E$93,A7,'Daily Order Tracker'!$N$4:$N$93,"Cancelled")/B7,0)</f>
        <v>0.22222222222222221</v>
      </c>
      <c r="I7" s="5">
        <v>4.4000000000000004</v>
      </c>
    </row>
    <row r="8" spans="1:9" x14ac:dyDescent="0.25">
      <c r="A8" s="9" t="s">
        <v>80</v>
      </c>
      <c r="B8" s="9">
        <f>COUNTIF('Daily Order Tracker'!$E$4:$E$93,A8)</f>
        <v>9</v>
      </c>
      <c r="C8" s="10">
        <f>SUMIFS('Daily Order Tracker'!$P$4:$P$93,'Daily Order Tracker'!$E$4:$E$93,A8,'Daily Order Tracker'!$N$4:$N$93,"Delivered")</f>
        <v>3082</v>
      </c>
      <c r="D8" s="11">
        <f>IFERROR(AVERAGEIFS('Daily Order Tracker'!$M$4:$M$93,'Daily Order Tracker'!$E$4:$E$93,A8,'Daily Order Tracker'!$M$4:$M$93,"&lt;&gt;"),0)</f>
        <v>13.000000000000362</v>
      </c>
      <c r="E8" s="11">
        <f>IFERROR(AVERAGEIFS('Daily Order Tracker'!$Q$4:$Q$93,'Daily Order Tracker'!$E$4:$E$93,A8,'Daily Order Tracker'!$Q$4:$Q$93,"&lt;&gt;"),0)</f>
        <v>6.7500000000001856</v>
      </c>
      <c r="F8" s="9">
        <f>COUNTIF('Rider Performance Tracker'!$C$4:$C$23,A8)</f>
        <v>2</v>
      </c>
      <c r="G8" s="9">
        <f>COUNTIF('Kitchen Operations Tracker'!$B$4:$B$13,A8)</f>
        <v>1</v>
      </c>
      <c r="H8" s="12">
        <f>IFERROR(COUNTIFS('Daily Order Tracker'!$E$4:$E$93,A8,'Daily Order Tracker'!$N$4:$N$93,"Cancelled")/B8,0)</f>
        <v>0</v>
      </c>
      <c r="I8" s="9">
        <v>4.5999999999999996</v>
      </c>
    </row>
    <row r="9" spans="1:9" x14ac:dyDescent="0.25">
      <c r="A9" s="5" t="s">
        <v>85</v>
      </c>
      <c r="B9" s="5">
        <f>COUNTIF('Daily Order Tracker'!$E$4:$E$93,A9)</f>
        <v>9</v>
      </c>
      <c r="C9" s="6">
        <f>SUMIFS('Daily Order Tracker'!$P$4:$P$93,'Daily Order Tracker'!$E$4:$E$93,A9,'Daily Order Tracker'!$N$4:$N$93,"Delivered")</f>
        <v>2095</v>
      </c>
      <c r="D9" s="7">
        <f>IFERROR(AVERAGEIFS('Daily Order Tracker'!$M$4:$M$93,'Daily Order Tracker'!$E$4:$E$93,A9,'Daily Order Tracker'!$M$4:$M$93,"&lt;&gt;"),0)</f>
        <v>10.600000000000122</v>
      </c>
      <c r="E9" s="7">
        <f>IFERROR(AVERAGEIFS('Daily Order Tracker'!$Q$4:$Q$93,'Daily Order Tracker'!$E$4:$E$93,A9,'Daily Order Tracker'!$Q$4:$Q$93,"&lt;&gt;"),0)</f>
        <v>5.3333333333330346</v>
      </c>
      <c r="F9" s="5">
        <f>COUNTIF('Rider Performance Tracker'!$C$4:$C$23,A9)</f>
        <v>2</v>
      </c>
      <c r="G9" s="5">
        <f>COUNTIF('Kitchen Operations Tracker'!$B$4:$B$13,A9)</f>
        <v>1</v>
      </c>
      <c r="H9" s="8">
        <f>IFERROR(COUNTIFS('Daily Order Tracker'!$E$4:$E$93,A9,'Daily Order Tracker'!$N$4:$N$93,"Cancelled")/B9,0)</f>
        <v>0.33333333333333331</v>
      </c>
      <c r="I9" s="5">
        <v>4.4000000000000004</v>
      </c>
    </row>
    <row r="10" spans="1:9" x14ac:dyDescent="0.25">
      <c r="A10" s="9" t="s">
        <v>91</v>
      </c>
      <c r="B10" s="9">
        <f>COUNTIF('Daily Order Tracker'!$E$4:$E$93,A10)</f>
        <v>9</v>
      </c>
      <c r="C10" s="10">
        <f>SUMIFS('Daily Order Tracker'!$P$4:$P$93,'Daily Order Tracker'!$E$4:$E$93,A10,'Daily Order Tracker'!$N$4:$N$93,"Delivered")</f>
        <v>2651</v>
      </c>
      <c r="D10" s="11">
        <f>IFERROR(AVERAGEIFS('Daily Order Tracker'!$M$4:$M$93,'Daily Order Tracker'!$E$4:$E$93,A10,'Daily Order Tracker'!$M$4:$M$93,"&lt;&gt;"),0)</f>
        <v>12.142857142857386</v>
      </c>
      <c r="E10" s="11">
        <f>IFERROR(AVERAGEIFS('Daily Order Tracker'!$Q$4:$Q$93,'Daily Order Tracker'!$E$4:$E$93,A10,'Daily Order Tracker'!$Q$4:$Q$93,"&lt;&gt;"),0)</f>
        <v>6.5714285714291076</v>
      </c>
      <c r="F10" s="9">
        <f>COUNTIF('Rider Performance Tracker'!$C$4:$C$23,A10)</f>
        <v>2</v>
      </c>
      <c r="G10" s="9">
        <f>COUNTIF('Kitchen Operations Tracker'!$B$4:$B$13,A10)</f>
        <v>1</v>
      </c>
      <c r="H10" s="12">
        <f>IFERROR(COUNTIFS('Daily Order Tracker'!$E$4:$E$93,A10,'Daily Order Tracker'!$N$4:$N$93,"Cancelled")/B10,0)</f>
        <v>0.1111111111111111</v>
      </c>
      <c r="I10" s="9">
        <v>4</v>
      </c>
    </row>
    <row r="11" spans="1:9" x14ac:dyDescent="0.25">
      <c r="A11" s="5" t="s">
        <v>98</v>
      </c>
      <c r="B11" s="5">
        <f>COUNTIF('Daily Order Tracker'!$E$4:$E$93,A11)</f>
        <v>9</v>
      </c>
      <c r="C11" s="6">
        <f>SUMIFS('Daily Order Tracker'!$P$4:$P$93,'Daily Order Tracker'!$E$4:$E$93,A11,'Daily Order Tracker'!$N$4:$N$93,"Delivered")</f>
        <v>3148</v>
      </c>
      <c r="D11" s="7">
        <f>IFERROR(AVERAGEIFS('Daily Order Tracker'!$M$4:$M$93,'Daily Order Tracker'!$E$4:$E$93,A11,'Daily Order Tracker'!$M$4:$M$93,"&lt;&gt;"),0)</f>
        <v>12.999999999999936</v>
      </c>
      <c r="E11" s="7">
        <f>IFERROR(AVERAGEIFS('Daily Order Tracker'!$Q$4:$Q$93,'Daily Order Tracker'!$E$4:$E$93,A11,'Daily Order Tracker'!$Q$4:$Q$93,"&lt;&gt;"),0)</f>
        <v>5.8749999999999982</v>
      </c>
      <c r="F11" s="5">
        <f>COUNTIF('Rider Performance Tracker'!$C$4:$C$23,A11)</f>
        <v>2</v>
      </c>
      <c r="G11" s="5">
        <f>COUNTIF('Kitchen Operations Tracker'!$B$4:$B$13,A11)</f>
        <v>1</v>
      </c>
      <c r="H11" s="8">
        <f>IFERROR(COUNTIFS('Daily Order Tracker'!$E$4:$E$93,A11,'Daily Order Tracker'!$N$4:$N$93,"Cancelled")/B11,0)</f>
        <v>0</v>
      </c>
      <c r="I11" s="5">
        <v>4.2</v>
      </c>
    </row>
    <row r="12" spans="1:9" x14ac:dyDescent="0.25">
      <c r="A12" s="9" t="s">
        <v>104</v>
      </c>
      <c r="B12" s="9">
        <f>COUNTIF('Daily Order Tracker'!$E$4:$E$93,A12)</f>
        <v>9</v>
      </c>
      <c r="C12" s="10">
        <f>SUMIFS('Daily Order Tracker'!$P$4:$P$93,'Daily Order Tracker'!$E$4:$E$93,A12,'Daily Order Tracker'!$N$4:$N$93,"Delivered")</f>
        <v>3542</v>
      </c>
      <c r="D12" s="11">
        <f>IFERROR(AVERAGEIFS('Daily Order Tracker'!$M$4:$M$93,'Daily Order Tracker'!$E$4:$E$93,A12,'Daily Order Tracker'!$M$4:$M$93,"&lt;&gt;"),0)</f>
        <v>11.124999999999741</v>
      </c>
      <c r="E12" s="11">
        <f>IFERROR(AVERAGEIFS('Daily Order Tracker'!$Q$4:$Q$93,'Daily Order Tracker'!$E$4:$E$93,A12,'Daily Order Tracker'!$Q$4:$Q$93,"&lt;&gt;"),0)</f>
        <v>6.0000000000003517</v>
      </c>
      <c r="F12" s="9">
        <f>COUNTIF('Rider Performance Tracker'!$C$4:$C$23,A12)</f>
        <v>2</v>
      </c>
      <c r="G12" s="9">
        <f>COUNTIF('Kitchen Operations Tracker'!$B$4:$B$13,A12)</f>
        <v>1</v>
      </c>
      <c r="H12" s="12">
        <f>IFERROR(COUNTIFS('Daily Order Tracker'!$E$4:$E$93,A12,'Daily Order Tracker'!$N$4:$N$93,"Cancelled")/B12,0)</f>
        <v>0</v>
      </c>
      <c r="I12" s="9">
        <v>4.2</v>
      </c>
    </row>
    <row r="13" spans="1:9" x14ac:dyDescent="0.25">
      <c r="A13" s="5" t="s">
        <v>111</v>
      </c>
      <c r="B13" s="5">
        <f>COUNTIF('Daily Order Tracker'!$E$4:$E$93,A13)</f>
        <v>9</v>
      </c>
      <c r="C13" s="6">
        <f>SUMIFS('Daily Order Tracker'!$P$4:$P$93,'Daily Order Tracker'!$E$4:$E$93,A13,'Daily Order Tracker'!$N$4:$N$93,"Delivered")</f>
        <v>2647</v>
      </c>
      <c r="D13" s="7">
        <f>IFERROR(AVERAGEIFS('Daily Order Tracker'!$M$4:$M$93,'Daily Order Tracker'!$E$4:$E$93,A13,'Daily Order Tracker'!$M$4:$M$93,"&lt;&gt;"),0)</f>
        <v>11.714285714285593</v>
      </c>
      <c r="E13" s="7">
        <f>IFERROR(AVERAGEIFS('Daily Order Tracker'!$Q$4:$Q$93,'Daily Order Tracker'!$E$4:$E$93,A13,'Daily Order Tracker'!$Q$4:$Q$93,"&lt;&gt;"),0)</f>
        <v>5.5714285714289051</v>
      </c>
      <c r="F13" s="5">
        <f>COUNTIF('Rider Performance Tracker'!$C$4:$C$23,A13)</f>
        <v>2</v>
      </c>
      <c r="G13" s="5">
        <f>COUNTIF('Kitchen Operations Tracker'!$B$4:$B$13,A13)</f>
        <v>1</v>
      </c>
      <c r="H13" s="8">
        <f>IFERROR(COUNTIFS('Daily Order Tracker'!$E$4:$E$93,A13,'Daily Order Tracker'!$N$4:$N$93,"Cancelled")/B13,0)</f>
        <v>0.1111111111111111</v>
      </c>
      <c r="I13" s="5">
        <v>3.9</v>
      </c>
    </row>
  </sheetData>
  <autoFilter ref="A3:I13" xr:uid="{00000000-0009-0000-0000-000006000000}"/>
  <mergeCells count="2">
    <mergeCell ref="A1:I1"/>
    <mergeCell ref="A2:I2"/>
  </mergeCells>
  <conditionalFormatting sqref="C4:C13">
    <cfRule type="dataBar" priority="2">
      <dataBar>
        <cfvo type="min"/>
        <cfvo type="max"/>
        <color rgb="FFFF6600"/>
      </dataBar>
      <extLst>
        <ext xmlns:x14="http://schemas.microsoft.com/office/spreadsheetml/2009/9/main" uri="{B025F937-C7B1-47D3-B67F-A62EFF666E3E}">
          <x14:id>{45BAB4B3-9A22-4F28-BD9B-5226D1957523}</x14:id>
        </ext>
      </extLst>
    </cfRule>
  </conditionalFormatting>
  <conditionalFormatting sqref="H4:H1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:I13">
    <cfRule type="iconSet" priority="4">
      <iconSet>
        <cfvo type="percent" val="0"/>
        <cfvo type="percent" val="33"/>
        <cfvo type="percent" val="67"/>
      </iconSet>
    </cfRule>
  </conditionalFormatting>
  <printOptions horizontalCentered="1"/>
  <pageMargins left="0.75" right="0.75" top="1" bottom="1" header="0.511811023622047" footer="0.511811023622047"/>
  <pageSetup paperSize="9"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BAB4B3-9A22-4F28-BD9B-5226D1957523}">
            <x14:dataBar axisPosition="none">
              <x14:cfvo type="min"/>
              <x14:cfvo type="max"/>
              <x14:negativeFillColor rgb="FFFF6600"/>
            </x14:dataBar>
          </x14:cfRule>
          <xm:sqref>C4:C13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6600"/>
    <pageSetUpPr fitToPage="1"/>
  </sheetPr>
  <dimension ref="A1:G23"/>
  <sheetViews>
    <sheetView showGridLines="0" zoomScaleNormal="100" workbookViewId="0">
      <pane ySplit="3" topLeftCell="A4" activePane="bottomLeft" state="frozen"/>
      <selection pane="bottomLeft" activeCell="J10" sqref="J10"/>
    </sheetView>
  </sheetViews>
  <sheetFormatPr defaultColWidth="8.7109375" defaultRowHeight="15" x14ac:dyDescent="0.25"/>
  <cols>
    <col min="1" max="1" width="22" customWidth="1"/>
    <col min="2" max="2" width="14" customWidth="1"/>
    <col min="3" max="3" width="12" customWidth="1"/>
    <col min="4" max="4" width="10" customWidth="1"/>
    <col min="5" max="6" width="14" customWidth="1"/>
    <col min="7" max="7" width="16" customWidth="1"/>
  </cols>
  <sheetData>
    <row r="1" spans="1:7" ht="33.75" customHeight="1" x14ac:dyDescent="0.25">
      <c r="A1" s="27" t="s">
        <v>424</v>
      </c>
      <c r="B1" s="27"/>
      <c r="C1" s="27"/>
      <c r="D1" s="27"/>
      <c r="E1" s="27"/>
      <c r="F1" s="27"/>
      <c r="G1" s="27"/>
    </row>
    <row r="2" spans="1:7" ht="18" customHeight="1" x14ac:dyDescent="0.25">
      <c r="A2" s="28" t="s">
        <v>425</v>
      </c>
      <c r="B2" s="28"/>
      <c r="C2" s="28"/>
      <c r="D2" s="28"/>
      <c r="E2" s="28"/>
      <c r="F2" s="28"/>
      <c r="G2" s="28"/>
    </row>
    <row r="3" spans="1:7" ht="27.75" customHeight="1" x14ac:dyDescent="0.25">
      <c r="A3" s="13" t="s">
        <v>426</v>
      </c>
      <c r="B3" s="13" t="s">
        <v>427</v>
      </c>
      <c r="C3" s="13" t="s">
        <v>428</v>
      </c>
      <c r="D3" s="13" t="s">
        <v>429</v>
      </c>
      <c r="E3" s="13" t="s">
        <v>430</v>
      </c>
      <c r="F3" s="13" t="s">
        <v>431</v>
      </c>
      <c r="G3" s="13" t="s">
        <v>432</v>
      </c>
    </row>
    <row r="4" spans="1:7" x14ac:dyDescent="0.25">
      <c r="A4" s="9" t="s">
        <v>433</v>
      </c>
      <c r="B4" s="9">
        <v>157</v>
      </c>
      <c r="C4" s="9">
        <v>99</v>
      </c>
      <c r="D4" s="9">
        <v>147</v>
      </c>
      <c r="E4" s="9">
        <f t="shared" ref="E4:E23" si="0">B4+C4-D4</f>
        <v>109</v>
      </c>
      <c r="F4" s="9">
        <v>24</v>
      </c>
      <c r="G4" s="9" t="str">
        <f t="shared" ref="G4:G23" si="1">IF(E4&lt;F4,"REORDER NOW","OK")</f>
        <v>OK</v>
      </c>
    </row>
    <row r="5" spans="1:7" x14ac:dyDescent="0.25">
      <c r="A5" s="5" t="s">
        <v>434</v>
      </c>
      <c r="B5" s="5">
        <v>78</v>
      </c>
      <c r="C5" s="5">
        <v>83</v>
      </c>
      <c r="D5" s="5">
        <v>182</v>
      </c>
      <c r="E5" s="5">
        <f t="shared" si="0"/>
        <v>-21</v>
      </c>
      <c r="F5" s="5">
        <v>54</v>
      </c>
      <c r="G5" s="5" t="str">
        <f t="shared" si="1"/>
        <v>REORDER NOW</v>
      </c>
    </row>
    <row r="6" spans="1:7" x14ac:dyDescent="0.25">
      <c r="A6" s="9" t="s">
        <v>435</v>
      </c>
      <c r="B6" s="9">
        <v>54</v>
      </c>
      <c r="C6" s="9">
        <v>100</v>
      </c>
      <c r="D6" s="9">
        <v>161</v>
      </c>
      <c r="E6" s="9">
        <f t="shared" si="0"/>
        <v>-7</v>
      </c>
      <c r="F6" s="9">
        <v>56</v>
      </c>
      <c r="G6" s="9" t="str">
        <f t="shared" si="1"/>
        <v>REORDER NOW</v>
      </c>
    </row>
    <row r="7" spans="1:7" x14ac:dyDescent="0.25">
      <c r="A7" s="5" t="s">
        <v>436</v>
      </c>
      <c r="B7" s="5">
        <v>111</v>
      </c>
      <c r="C7" s="5">
        <v>38</v>
      </c>
      <c r="D7" s="5">
        <v>104</v>
      </c>
      <c r="E7" s="5">
        <f t="shared" si="0"/>
        <v>45</v>
      </c>
      <c r="F7" s="5">
        <v>47</v>
      </c>
      <c r="G7" s="5" t="str">
        <f t="shared" si="1"/>
        <v>REORDER NOW</v>
      </c>
    </row>
    <row r="8" spans="1:7" x14ac:dyDescent="0.25">
      <c r="A8" s="9" t="s">
        <v>437</v>
      </c>
      <c r="B8" s="9">
        <v>50</v>
      </c>
      <c r="C8" s="9">
        <v>98</v>
      </c>
      <c r="D8" s="9">
        <v>120</v>
      </c>
      <c r="E8" s="9">
        <f t="shared" si="0"/>
        <v>28</v>
      </c>
      <c r="F8" s="9">
        <v>35</v>
      </c>
      <c r="G8" s="9" t="str">
        <f t="shared" si="1"/>
        <v>REORDER NOW</v>
      </c>
    </row>
    <row r="9" spans="1:7" x14ac:dyDescent="0.25">
      <c r="A9" s="5" t="s">
        <v>438</v>
      </c>
      <c r="B9" s="5">
        <v>196</v>
      </c>
      <c r="C9" s="5">
        <v>73</v>
      </c>
      <c r="D9" s="5">
        <v>77</v>
      </c>
      <c r="E9" s="5">
        <f t="shared" si="0"/>
        <v>192</v>
      </c>
      <c r="F9" s="5">
        <v>25</v>
      </c>
      <c r="G9" s="5" t="str">
        <f t="shared" si="1"/>
        <v>OK</v>
      </c>
    </row>
    <row r="10" spans="1:7" x14ac:dyDescent="0.25">
      <c r="A10" s="9" t="s">
        <v>439</v>
      </c>
      <c r="B10" s="9">
        <v>184</v>
      </c>
      <c r="C10" s="9">
        <v>66</v>
      </c>
      <c r="D10" s="9">
        <v>47</v>
      </c>
      <c r="E10" s="9">
        <f t="shared" si="0"/>
        <v>203</v>
      </c>
      <c r="F10" s="9">
        <v>53</v>
      </c>
      <c r="G10" s="9" t="str">
        <f t="shared" si="1"/>
        <v>OK</v>
      </c>
    </row>
    <row r="11" spans="1:7" x14ac:dyDescent="0.25">
      <c r="A11" s="5" t="s">
        <v>440</v>
      </c>
      <c r="B11" s="5">
        <v>189</v>
      </c>
      <c r="C11" s="5">
        <v>84</v>
      </c>
      <c r="D11" s="5">
        <v>231</v>
      </c>
      <c r="E11" s="5">
        <f t="shared" si="0"/>
        <v>42</v>
      </c>
      <c r="F11" s="5">
        <v>52</v>
      </c>
      <c r="G11" s="5" t="str">
        <f t="shared" si="1"/>
        <v>REORDER NOW</v>
      </c>
    </row>
    <row r="12" spans="1:7" x14ac:dyDescent="0.25">
      <c r="A12" s="9" t="s">
        <v>441</v>
      </c>
      <c r="B12" s="9">
        <v>191</v>
      </c>
      <c r="C12" s="9">
        <v>22</v>
      </c>
      <c r="D12" s="9">
        <v>129</v>
      </c>
      <c r="E12" s="9">
        <f t="shared" si="0"/>
        <v>84</v>
      </c>
      <c r="F12" s="9">
        <v>50</v>
      </c>
      <c r="G12" s="9" t="str">
        <f t="shared" si="1"/>
        <v>OK</v>
      </c>
    </row>
    <row r="13" spans="1:7" x14ac:dyDescent="0.25">
      <c r="A13" s="5" t="s">
        <v>442</v>
      </c>
      <c r="B13" s="5">
        <v>61</v>
      </c>
      <c r="C13" s="5">
        <v>69</v>
      </c>
      <c r="D13" s="5">
        <v>125</v>
      </c>
      <c r="E13" s="5">
        <f t="shared" si="0"/>
        <v>5</v>
      </c>
      <c r="F13" s="5">
        <v>36</v>
      </c>
      <c r="G13" s="5" t="str">
        <f t="shared" si="1"/>
        <v>REORDER NOW</v>
      </c>
    </row>
    <row r="14" spans="1:7" x14ac:dyDescent="0.25">
      <c r="A14" s="9" t="s">
        <v>443</v>
      </c>
      <c r="B14" s="9">
        <v>241</v>
      </c>
      <c r="C14" s="9">
        <v>22</v>
      </c>
      <c r="D14" s="9">
        <v>121</v>
      </c>
      <c r="E14" s="9">
        <f t="shared" si="0"/>
        <v>142</v>
      </c>
      <c r="F14" s="9">
        <v>24</v>
      </c>
      <c r="G14" s="9" t="str">
        <f t="shared" si="1"/>
        <v>OK</v>
      </c>
    </row>
    <row r="15" spans="1:7" x14ac:dyDescent="0.25">
      <c r="A15" s="5" t="s">
        <v>444</v>
      </c>
      <c r="B15" s="5">
        <v>138</v>
      </c>
      <c r="C15" s="5">
        <v>50</v>
      </c>
      <c r="D15" s="5">
        <v>217</v>
      </c>
      <c r="E15" s="5">
        <f t="shared" si="0"/>
        <v>-29</v>
      </c>
      <c r="F15" s="5">
        <v>60</v>
      </c>
      <c r="G15" s="5" t="str">
        <f t="shared" si="1"/>
        <v>REORDER NOW</v>
      </c>
    </row>
    <row r="16" spans="1:7" x14ac:dyDescent="0.25">
      <c r="A16" s="9" t="s">
        <v>445</v>
      </c>
      <c r="B16" s="9">
        <v>76</v>
      </c>
      <c r="C16" s="9">
        <v>94</v>
      </c>
      <c r="D16" s="9">
        <v>218</v>
      </c>
      <c r="E16" s="9">
        <f t="shared" si="0"/>
        <v>-48</v>
      </c>
      <c r="F16" s="9">
        <v>41</v>
      </c>
      <c r="G16" s="9" t="str">
        <f t="shared" si="1"/>
        <v>REORDER NOW</v>
      </c>
    </row>
    <row r="17" spans="1:7" x14ac:dyDescent="0.25">
      <c r="A17" s="5" t="s">
        <v>446</v>
      </c>
      <c r="B17" s="5">
        <v>84</v>
      </c>
      <c r="C17" s="5">
        <v>25</v>
      </c>
      <c r="D17" s="5">
        <v>120</v>
      </c>
      <c r="E17" s="5">
        <f t="shared" si="0"/>
        <v>-11</v>
      </c>
      <c r="F17" s="5">
        <v>54</v>
      </c>
      <c r="G17" s="5" t="str">
        <f t="shared" si="1"/>
        <v>REORDER NOW</v>
      </c>
    </row>
    <row r="18" spans="1:7" x14ac:dyDescent="0.25">
      <c r="A18" s="9" t="s">
        <v>447</v>
      </c>
      <c r="B18" s="9">
        <v>136</v>
      </c>
      <c r="C18" s="9">
        <v>42</v>
      </c>
      <c r="D18" s="9">
        <v>242</v>
      </c>
      <c r="E18" s="9">
        <f t="shared" si="0"/>
        <v>-64</v>
      </c>
      <c r="F18" s="9">
        <v>49</v>
      </c>
      <c r="G18" s="9" t="str">
        <f t="shared" si="1"/>
        <v>REORDER NOW</v>
      </c>
    </row>
    <row r="19" spans="1:7" x14ac:dyDescent="0.25">
      <c r="A19" s="5" t="s">
        <v>448</v>
      </c>
      <c r="B19" s="5">
        <v>228</v>
      </c>
      <c r="C19" s="5">
        <v>81</v>
      </c>
      <c r="D19" s="5">
        <v>191</v>
      </c>
      <c r="E19" s="5">
        <f t="shared" si="0"/>
        <v>118</v>
      </c>
      <c r="F19" s="5">
        <v>31</v>
      </c>
      <c r="G19" s="5" t="str">
        <f t="shared" si="1"/>
        <v>OK</v>
      </c>
    </row>
    <row r="20" spans="1:7" x14ac:dyDescent="0.25">
      <c r="A20" s="9" t="s">
        <v>449</v>
      </c>
      <c r="B20" s="9">
        <v>257</v>
      </c>
      <c r="C20" s="9">
        <v>37</v>
      </c>
      <c r="D20" s="9">
        <v>46</v>
      </c>
      <c r="E20" s="9">
        <f t="shared" si="0"/>
        <v>248</v>
      </c>
      <c r="F20" s="9">
        <v>49</v>
      </c>
      <c r="G20" s="9" t="str">
        <f t="shared" si="1"/>
        <v>OK</v>
      </c>
    </row>
    <row r="21" spans="1:7" x14ac:dyDescent="0.25">
      <c r="A21" s="5" t="s">
        <v>450</v>
      </c>
      <c r="B21" s="5">
        <v>59</v>
      </c>
      <c r="C21" s="5">
        <v>57</v>
      </c>
      <c r="D21" s="5">
        <v>81</v>
      </c>
      <c r="E21" s="5">
        <f t="shared" si="0"/>
        <v>35</v>
      </c>
      <c r="F21" s="5">
        <v>22</v>
      </c>
      <c r="G21" s="5" t="str">
        <f t="shared" si="1"/>
        <v>OK</v>
      </c>
    </row>
    <row r="22" spans="1:7" x14ac:dyDescent="0.25">
      <c r="A22" s="9" t="s">
        <v>451</v>
      </c>
      <c r="B22" s="9">
        <v>252</v>
      </c>
      <c r="C22" s="9">
        <v>45</v>
      </c>
      <c r="D22" s="9">
        <v>256</v>
      </c>
      <c r="E22" s="9">
        <f t="shared" si="0"/>
        <v>41</v>
      </c>
      <c r="F22" s="9">
        <v>22</v>
      </c>
      <c r="G22" s="9" t="str">
        <f t="shared" si="1"/>
        <v>OK</v>
      </c>
    </row>
    <row r="23" spans="1:7" x14ac:dyDescent="0.25">
      <c r="A23" s="5" t="s">
        <v>452</v>
      </c>
      <c r="B23" s="5">
        <v>130</v>
      </c>
      <c r="C23" s="5">
        <v>59</v>
      </c>
      <c r="D23" s="5">
        <v>161</v>
      </c>
      <c r="E23" s="5">
        <f t="shared" si="0"/>
        <v>28</v>
      </c>
      <c r="F23" s="5">
        <v>45</v>
      </c>
      <c r="G23" s="5" t="str">
        <f t="shared" si="1"/>
        <v>REORDER NOW</v>
      </c>
    </row>
  </sheetData>
  <autoFilter ref="A3:G23" xr:uid="{00000000-0009-0000-0000-000007000000}"/>
  <mergeCells count="2">
    <mergeCell ref="A1:G1"/>
    <mergeCell ref="A2:G2"/>
  </mergeCells>
  <conditionalFormatting sqref="E4:E23">
    <cfRule type="dataBar" priority="2">
      <dataBar>
        <cfvo type="min"/>
        <cfvo type="max"/>
        <color rgb="FF00A651"/>
      </dataBar>
      <extLst>
        <ext xmlns:x14="http://schemas.microsoft.com/office/spreadsheetml/2009/9/main" uri="{B025F937-C7B1-47D3-B67F-A62EFF666E3E}">
          <x14:id>{7B2B55A3-7AC3-4A30-99BD-39E6AD65707F}</x14:id>
        </ext>
      </extLst>
    </cfRule>
  </conditionalFormatting>
  <conditionalFormatting sqref="G4:G23">
    <cfRule type="expression" dxfId="9" priority="3">
      <formula>G4="REORDER NOW"</formula>
    </cfRule>
    <cfRule type="expression" dxfId="8" priority="4">
      <formula>G4="OK"</formula>
    </cfRule>
  </conditionalFormatting>
  <printOptions horizontalCentered="1"/>
  <pageMargins left="0.75" right="0.75" top="1" bottom="1" header="0.511811023622047" footer="0.511811023622047"/>
  <pageSetup paperSize="9"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2B55A3-7AC3-4A30-99BD-39E6AD65707F}">
            <x14:dataBar axisPosition="none">
              <x14:cfvo type="min"/>
              <x14:cfvo type="max"/>
              <x14:negativeFillColor rgb="FF00A651"/>
            </x14:dataBar>
          </x14:cfRule>
          <xm:sqref>E4:E23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6600"/>
    <pageSetUpPr fitToPage="1"/>
  </sheetPr>
  <dimension ref="A1:H63"/>
  <sheetViews>
    <sheetView showGridLines="0" zoomScaleNormal="100" workbookViewId="0">
      <pane ySplit="3" topLeftCell="A6" activePane="bottomLeft" state="frozen"/>
      <selection pane="bottomLeft" sqref="A1:H1"/>
    </sheetView>
  </sheetViews>
  <sheetFormatPr defaultColWidth="8.7109375" defaultRowHeight="15" x14ac:dyDescent="0.25"/>
  <cols>
    <col min="1" max="1" width="12" customWidth="1"/>
    <col min="2" max="2" width="10" customWidth="1"/>
    <col min="3" max="3" width="16" customWidth="1"/>
    <col min="4" max="5" width="12" customWidth="1"/>
    <col min="6" max="6" width="14" customWidth="1"/>
    <col min="7" max="7" width="12" customWidth="1"/>
    <col min="8" max="8" width="16" customWidth="1"/>
  </cols>
  <sheetData>
    <row r="1" spans="1:8" ht="33.75" customHeight="1" x14ac:dyDescent="0.25">
      <c r="A1" s="27" t="s">
        <v>453</v>
      </c>
      <c r="B1" s="27"/>
      <c r="C1" s="27"/>
      <c r="D1" s="27"/>
      <c r="E1" s="27"/>
      <c r="F1" s="27"/>
      <c r="G1" s="27"/>
      <c r="H1" s="27"/>
    </row>
    <row r="2" spans="1:8" ht="18" customHeight="1" x14ac:dyDescent="0.25">
      <c r="A2" s="28" t="s">
        <v>454</v>
      </c>
      <c r="B2" s="28"/>
      <c r="C2" s="28"/>
      <c r="D2" s="28"/>
      <c r="E2" s="28"/>
      <c r="F2" s="28"/>
      <c r="G2" s="28"/>
      <c r="H2" s="28"/>
    </row>
    <row r="3" spans="1:8" ht="27.75" customHeight="1" x14ac:dyDescent="0.25">
      <c r="A3" s="13" t="s">
        <v>32</v>
      </c>
      <c r="B3" s="13" t="s">
        <v>382</v>
      </c>
      <c r="C3" s="13" t="s">
        <v>383</v>
      </c>
      <c r="D3" s="13" t="s">
        <v>455</v>
      </c>
      <c r="E3" s="13" t="s">
        <v>456</v>
      </c>
      <c r="F3" s="13" t="s">
        <v>457</v>
      </c>
      <c r="G3" s="13" t="s">
        <v>458</v>
      </c>
      <c r="H3" s="13" t="s">
        <v>459</v>
      </c>
    </row>
    <row r="4" spans="1:8" x14ac:dyDescent="0.25">
      <c r="A4" s="15">
        <v>46280</v>
      </c>
      <c r="B4" s="9" t="s">
        <v>54</v>
      </c>
      <c r="C4" s="9" t="str">
        <f>IFERROR(VLOOKUP(B4,'Rider Performance Tracker'!$A$4:$B$23,2,FALSE()),"")</f>
        <v>Rahul Verma</v>
      </c>
      <c r="D4" s="9"/>
      <c r="E4" s="9"/>
      <c r="F4" s="9">
        <v>0</v>
      </c>
      <c r="G4" s="9">
        <v>0</v>
      </c>
      <c r="H4" s="9" t="s">
        <v>460</v>
      </c>
    </row>
    <row r="5" spans="1:8" x14ac:dyDescent="0.25">
      <c r="A5" s="19">
        <v>46280</v>
      </c>
      <c r="B5" s="5" t="s">
        <v>200</v>
      </c>
      <c r="C5" s="5" t="str">
        <f>IFERROR(VLOOKUP(B5,'Rider Performance Tracker'!$A$4:$B$23,2,FALSE()),"")</f>
        <v>Sandeep Yadav</v>
      </c>
      <c r="D5" s="20">
        <v>0.33472222222222198</v>
      </c>
      <c r="E5" s="20">
        <v>0.62638888888888899</v>
      </c>
      <c r="F5" s="5">
        <v>0.8</v>
      </c>
      <c r="G5" s="5">
        <f>ROUND(((E5-D5)*24)-F5,1)</f>
        <v>6.2</v>
      </c>
      <c r="H5" s="5" t="s">
        <v>461</v>
      </c>
    </row>
    <row r="6" spans="1:8" x14ac:dyDescent="0.25">
      <c r="A6" s="15">
        <v>46280</v>
      </c>
      <c r="B6" s="9" t="s">
        <v>169</v>
      </c>
      <c r="C6" s="9" t="str">
        <f>IFERROR(VLOOKUP(B6,'Rider Performance Tracker'!$A$4:$B$23,2,FALSE()),"")</f>
        <v>Kiran Kumar</v>
      </c>
      <c r="D6" s="16">
        <v>0.37152777777777801</v>
      </c>
      <c r="E6" s="16">
        <v>0.66319444444444398</v>
      </c>
      <c r="F6" s="9">
        <v>0.8</v>
      </c>
      <c r="G6" s="9">
        <f>ROUND(((E6-D6)*24)-F6,1)</f>
        <v>6.2</v>
      </c>
      <c r="H6" s="9" t="s">
        <v>461</v>
      </c>
    </row>
    <row r="7" spans="1:8" x14ac:dyDescent="0.25">
      <c r="A7" s="19">
        <v>46280</v>
      </c>
      <c r="B7" s="5" t="s">
        <v>61</v>
      </c>
      <c r="C7" s="5" t="str">
        <f>IFERROR(VLOOKUP(B7,'Rider Performance Tracker'!$A$4:$B$23,2,FALSE()),"")</f>
        <v>Manoj Das</v>
      </c>
      <c r="D7" s="20">
        <v>0.55347222222222203</v>
      </c>
      <c r="E7" s="20">
        <v>0.72013888888888899</v>
      </c>
      <c r="F7" s="5">
        <v>0.4</v>
      </c>
      <c r="G7" s="5">
        <f>ROUND(((E7-D7)*24)-F7,1)</f>
        <v>3.6</v>
      </c>
      <c r="H7" s="5" t="s">
        <v>462</v>
      </c>
    </row>
    <row r="8" spans="1:8" x14ac:dyDescent="0.25">
      <c r="A8" s="15">
        <v>46280</v>
      </c>
      <c r="B8" s="9" t="s">
        <v>68</v>
      </c>
      <c r="C8" s="9" t="str">
        <f>IFERROR(VLOOKUP(B8,'Rider Performance Tracker'!$A$4:$B$23,2,FALSE()),"")</f>
        <v>Vishal Chauhan</v>
      </c>
      <c r="D8" s="16">
        <v>0.36597222222222198</v>
      </c>
      <c r="E8" s="16">
        <v>0.65763888888888899</v>
      </c>
      <c r="F8" s="9">
        <v>0.6</v>
      </c>
      <c r="G8" s="9">
        <f>ROUND(((E8-D8)*24)-F8,1)</f>
        <v>6.4</v>
      </c>
      <c r="H8" s="9" t="s">
        <v>461</v>
      </c>
    </row>
    <row r="9" spans="1:8" x14ac:dyDescent="0.25">
      <c r="A9" s="19">
        <v>46280</v>
      </c>
      <c r="B9" s="5" t="s">
        <v>172</v>
      </c>
      <c r="C9" s="5" t="str">
        <f>IFERROR(VLOOKUP(B9,'Rider Performance Tracker'!$A$4:$B$23,2,FALSE()),"")</f>
        <v>Ajay Patil</v>
      </c>
      <c r="D9" s="5"/>
      <c r="E9" s="5"/>
      <c r="F9" s="5">
        <v>0</v>
      </c>
      <c r="G9" s="5">
        <v>0</v>
      </c>
      <c r="H9" s="5" t="s">
        <v>460</v>
      </c>
    </row>
    <row r="10" spans="1:8" x14ac:dyDescent="0.25">
      <c r="A10" s="15">
        <v>46280</v>
      </c>
      <c r="B10" s="9" t="s">
        <v>176</v>
      </c>
      <c r="C10" s="9" t="str">
        <f>IFERROR(VLOOKUP(B10,'Rider Performance Tracker'!$A$4:$B$23,2,FALSE()),"")</f>
        <v>Suraj Shetty</v>
      </c>
      <c r="D10" s="16">
        <v>0.313194444444444</v>
      </c>
      <c r="E10" s="16">
        <v>0.60486111111111096</v>
      </c>
      <c r="F10" s="9">
        <v>0.8</v>
      </c>
      <c r="G10" s="9">
        <f t="shared" ref="G10:G22" si="0">ROUND(((E10-D10)*24)-F10,1)</f>
        <v>6.2</v>
      </c>
      <c r="H10" s="9" t="s">
        <v>461</v>
      </c>
    </row>
    <row r="11" spans="1:8" x14ac:dyDescent="0.25">
      <c r="A11" s="19">
        <v>46280</v>
      </c>
      <c r="B11" s="5" t="s">
        <v>75</v>
      </c>
      <c r="C11" s="5" t="str">
        <f>IFERROR(VLOOKUP(B11,'Rider Performance Tracker'!$A$4:$B$23,2,FALSE()),"")</f>
        <v>Rohit Bose</v>
      </c>
      <c r="D11" s="20">
        <v>0.38680555555555601</v>
      </c>
      <c r="E11" s="20">
        <v>0.67847222222222203</v>
      </c>
      <c r="F11" s="5">
        <v>0.9</v>
      </c>
      <c r="G11" s="5">
        <f t="shared" si="0"/>
        <v>6.1</v>
      </c>
      <c r="H11" s="5" t="s">
        <v>461</v>
      </c>
    </row>
    <row r="12" spans="1:8" x14ac:dyDescent="0.25">
      <c r="A12" s="15">
        <v>46280</v>
      </c>
      <c r="B12" s="9" t="s">
        <v>82</v>
      </c>
      <c r="C12" s="9" t="str">
        <f>IFERROR(VLOOKUP(B12,'Rider Performance Tracker'!$A$4:$B$23,2,FALSE()),"")</f>
        <v>Farhan Ali</v>
      </c>
      <c r="D12" s="16">
        <v>0.31041666666666701</v>
      </c>
      <c r="E12" s="16">
        <v>0.60208333333333297</v>
      </c>
      <c r="F12" s="9">
        <v>0.7</v>
      </c>
      <c r="G12" s="9">
        <f t="shared" si="0"/>
        <v>6.3</v>
      </c>
      <c r="H12" s="9" t="s">
        <v>461</v>
      </c>
    </row>
    <row r="13" spans="1:8" x14ac:dyDescent="0.25">
      <c r="A13" s="19">
        <v>46280</v>
      </c>
      <c r="B13" s="5" t="s">
        <v>180</v>
      </c>
      <c r="C13" s="5" t="str">
        <f>IFERROR(VLOOKUP(B13,'Rider Performance Tracker'!$A$4:$B$23,2,FALSE()),"")</f>
        <v>Gautam Joshi</v>
      </c>
      <c r="D13" s="20">
        <v>0.59583333333333299</v>
      </c>
      <c r="E13" s="20">
        <v>0.76249999999999996</v>
      </c>
      <c r="F13" s="5">
        <v>0.5</v>
      </c>
      <c r="G13" s="5">
        <f t="shared" si="0"/>
        <v>3.5</v>
      </c>
      <c r="H13" s="5" t="s">
        <v>462</v>
      </c>
    </row>
    <row r="14" spans="1:8" x14ac:dyDescent="0.25">
      <c r="A14" s="15">
        <v>46280</v>
      </c>
      <c r="B14" s="9" t="s">
        <v>183</v>
      </c>
      <c r="C14" s="9" t="str">
        <f>IFERROR(VLOOKUP(B14,'Rider Performance Tracker'!$A$4:$B$23,2,FALSE()),"")</f>
        <v>Nikhil Rane</v>
      </c>
      <c r="D14" s="16">
        <v>0.38750000000000001</v>
      </c>
      <c r="E14" s="16">
        <v>0.67916666666666703</v>
      </c>
      <c r="F14" s="9">
        <v>0.5</v>
      </c>
      <c r="G14" s="9">
        <f t="shared" si="0"/>
        <v>6.5</v>
      </c>
      <c r="H14" s="9" t="s">
        <v>461</v>
      </c>
    </row>
    <row r="15" spans="1:8" x14ac:dyDescent="0.25">
      <c r="A15" s="19">
        <v>46280</v>
      </c>
      <c r="B15" s="5" t="s">
        <v>87</v>
      </c>
      <c r="C15" s="5" t="str">
        <f>IFERROR(VLOOKUP(B15,'Rider Performance Tracker'!$A$4:$B$23,2,FALSE()),"")</f>
        <v>Prakash Naidu</v>
      </c>
      <c r="D15" s="20">
        <v>0.34027777777777801</v>
      </c>
      <c r="E15" s="20">
        <v>0.63194444444444398</v>
      </c>
      <c r="F15" s="5">
        <v>0.8</v>
      </c>
      <c r="G15" s="5">
        <f t="shared" si="0"/>
        <v>6.2</v>
      </c>
      <c r="H15" s="5" t="s">
        <v>461</v>
      </c>
    </row>
    <row r="16" spans="1:8" x14ac:dyDescent="0.25">
      <c r="A16" s="15">
        <v>46280</v>
      </c>
      <c r="B16" s="9" t="s">
        <v>93</v>
      </c>
      <c r="C16" s="9" t="str">
        <f>IFERROR(VLOOKUP(B16,'Rider Performance Tracker'!$A$4:$B$23,2,FALSE()),"")</f>
        <v>Irfan Khan</v>
      </c>
      <c r="D16" s="16">
        <v>0.32361111111111102</v>
      </c>
      <c r="E16" s="16">
        <v>0.61527777777777803</v>
      </c>
      <c r="F16" s="9">
        <v>0.9</v>
      </c>
      <c r="G16" s="9">
        <f t="shared" si="0"/>
        <v>6.1</v>
      </c>
      <c r="H16" s="9" t="s">
        <v>461</v>
      </c>
    </row>
    <row r="17" spans="1:8" x14ac:dyDescent="0.25">
      <c r="A17" s="19">
        <v>46280</v>
      </c>
      <c r="B17" s="5" t="s">
        <v>186</v>
      </c>
      <c r="C17" s="5" t="str">
        <f>IFERROR(VLOOKUP(B17,'Rider Performance Tracker'!$A$4:$B$23,2,FALSE()),"")</f>
        <v>Tarun Bhatia</v>
      </c>
      <c r="D17" s="20">
        <v>0.34513888888888899</v>
      </c>
      <c r="E17" s="20">
        <v>0.63680555555555596</v>
      </c>
      <c r="F17" s="5">
        <v>0.7</v>
      </c>
      <c r="G17" s="5">
        <f t="shared" si="0"/>
        <v>6.3</v>
      </c>
      <c r="H17" s="5" t="s">
        <v>461</v>
      </c>
    </row>
    <row r="18" spans="1:8" x14ac:dyDescent="0.25">
      <c r="A18" s="15">
        <v>46280</v>
      </c>
      <c r="B18" s="9" t="s">
        <v>190</v>
      </c>
      <c r="C18" s="9" t="str">
        <f>IFERROR(VLOOKUP(B18,'Rider Performance Tracker'!$A$4:$B$23,2,FALSE()),"")</f>
        <v>Yusuf Sheikh</v>
      </c>
      <c r="D18" s="16">
        <v>0.29444444444444501</v>
      </c>
      <c r="E18" s="16">
        <v>0.58611111111111103</v>
      </c>
      <c r="F18" s="9">
        <v>0.8</v>
      </c>
      <c r="G18" s="9">
        <f t="shared" si="0"/>
        <v>6.2</v>
      </c>
      <c r="H18" s="9" t="s">
        <v>461</v>
      </c>
    </row>
    <row r="19" spans="1:8" x14ac:dyDescent="0.25">
      <c r="A19" s="19">
        <v>46280</v>
      </c>
      <c r="B19" s="5" t="s">
        <v>100</v>
      </c>
      <c r="C19" s="5" t="str">
        <f>IFERROR(VLOOKUP(B19,'Rider Performance Tracker'!$A$4:$B$23,2,FALSE()),"")</f>
        <v>Aditya Menon</v>
      </c>
      <c r="D19" s="20">
        <v>0.41041666666666698</v>
      </c>
      <c r="E19" s="20">
        <v>0.70208333333333295</v>
      </c>
      <c r="F19" s="5">
        <v>0.8</v>
      </c>
      <c r="G19" s="5">
        <f t="shared" si="0"/>
        <v>6.2</v>
      </c>
      <c r="H19" s="5" t="s">
        <v>461</v>
      </c>
    </row>
    <row r="20" spans="1:8" x14ac:dyDescent="0.25">
      <c r="A20" s="15">
        <v>46280</v>
      </c>
      <c r="B20" s="9" t="s">
        <v>106</v>
      </c>
      <c r="C20" s="9" t="str">
        <f>IFERROR(VLOOKUP(B20,'Rider Performance Tracker'!$A$4:$B$23,2,FALSE()),"")</f>
        <v>Sameer Qureshi</v>
      </c>
      <c r="D20" s="16">
        <v>0.297916666666667</v>
      </c>
      <c r="E20" s="16">
        <v>0.58958333333333302</v>
      </c>
      <c r="F20" s="9">
        <v>0.9</v>
      </c>
      <c r="G20" s="9">
        <f t="shared" si="0"/>
        <v>6.1</v>
      </c>
      <c r="H20" s="9" t="s">
        <v>461</v>
      </c>
    </row>
    <row r="21" spans="1:8" x14ac:dyDescent="0.25">
      <c r="A21" s="19">
        <v>46280</v>
      </c>
      <c r="B21" s="5" t="s">
        <v>193</v>
      </c>
      <c r="C21" s="5" t="str">
        <f>IFERROR(VLOOKUP(B21,'Rider Performance Tracker'!$A$4:$B$23,2,FALSE()),"")</f>
        <v>Bala Murugan</v>
      </c>
      <c r="D21" s="20">
        <v>0.33472222222222198</v>
      </c>
      <c r="E21" s="20">
        <v>0.62638888888888899</v>
      </c>
      <c r="F21" s="5">
        <v>0.4</v>
      </c>
      <c r="G21" s="5">
        <f t="shared" si="0"/>
        <v>6.6</v>
      </c>
      <c r="H21" s="5" t="s">
        <v>461</v>
      </c>
    </row>
    <row r="22" spans="1:8" x14ac:dyDescent="0.25">
      <c r="A22" s="15">
        <v>46280</v>
      </c>
      <c r="B22" s="9" t="s">
        <v>196</v>
      </c>
      <c r="C22" s="9" t="str">
        <f>IFERROR(VLOOKUP(B22,'Rider Performance Tracker'!$A$4:$B$23,2,FALSE()),"")</f>
        <v>Harish Chandra</v>
      </c>
      <c r="D22" s="16">
        <v>0.390972222222222</v>
      </c>
      <c r="E22" s="16">
        <v>0.68263888888888902</v>
      </c>
      <c r="F22" s="9">
        <v>0.6</v>
      </c>
      <c r="G22" s="9">
        <f t="shared" si="0"/>
        <v>6.4</v>
      </c>
      <c r="H22" s="9" t="s">
        <v>461</v>
      </c>
    </row>
    <row r="23" spans="1:8" x14ac:dyDescent="0.25">
      <c r="A23" s="19">
        <v>46280</v>
      </c>
      <c r="B23" s="5" t="s">
        <v>113</v>
      </c>
      <c r="C23" s="5" t="str">
        <f>IFERROR(VLOOKUP(B23,'Rider Performance Tracker'!$A$4:$B$23,2,FALSE()),"")</f>
        <v>Dinesh Kumar</v>
      </c>
      <c r="D23" s="5"/>
      <c r="E23" s="5"/>
      <c r="F23" s="5">
        <v>0</v>
      </c>
      <c r="G23" s="5">
        <v>0</v>
      </c>
      <c r="H23" s="5" t="s">
        <v>463</v>
      </c>
    </row>
    <row r="24" spans="1:8" x14ac:dyDescent="0.25">
      <c r="A24" s="15">
        <v>46281</v>
      </c>
      <c r="B24" s="9" t="s">
        <v>54</v>
      </c>
      <c r="C24" s="9" t="str">
        <f>IFERROR(VLOOKUP(B24,'Rider Performance Tracker'!$A$4:$B$23,2,FALSE()),"")</f>
        <v>Rahul Verma</v>
      </c>
      <c r="D24" s="16">
        <v>0.32152777777777802</v>
      </c>
      <c r="E24" s="16">
        <v>0.61319444444444504</v>
      </c>
      <c r="F24" s="9">
        <v>0.6</v>
      </c>
      <c r="G24" s="9">
        <f t="shared" ref="G24:G29" si="1">ROUND(((E24-D24)*24)-F24,1)</f>
        <v>6.4</v>
      </c>
      <c r="H24" s="9" t="s">
        <v>461</v>
      </c>
    </row>
    <row r="25" spans="1:8" x14ac:dyDescent="0.25">
      <c r="A25" s="19">
        <v>46281</v>
      </c>
      <c r="B25" s="5" t="s">
        <v>200</v>
      </c>
      <c r="C25" s="5" t="str">
        <f>IFERROR(VLOOKUP(B25,'Rider Performance Tracker'!$A$4:$B$23,2,FALSE()),"")</f>
        <v>Sandeep Yadav</v>
      </c>
      <c r="D25" s="20">
        <v>0.36666666666666697</v>
      </c>
      <c r="E25" s="20">
        <v>0.65833333333333299</v>
      </c>
      <c r="F25" s="5">
        <v>0.4</v>
      </c>
      <c r="G25" s="5">
        <f t="shared" si="1"/>
        <v>6.6</v>
      </c>
      <c r="H25" s="5" t="s">
        <v>461</v>
      </c>
    </row>
    <row r="26" spans="1:8" x14ac:dyDescent="0.25">
      <c r="A26" s="15">
        <v>46281</v>
      </c>
      <c r="B26" s="9" t="s">
        <v>169</v>
      </c>
      <c r="C26" s="9" t="str">
        <f>IFERROR(VLOOKUP(B26,'Rider Performance Tracker'!$A$4:$B$23,2,FALSE()),"")</f>
        <v>Kiran Kumar</v>
      </c>
      <c r="D26" s="16">
        <v>0.35069444444444398</v>
      </c>
      <c r="E26" s="16">
        <v>0.64236111111111105</v>
      </c>
      <c r="F26" s="9">
        <v>0.5</v>
      </c>
      <c r="G26" s="9">
        <f t="shared" si="1"/>
        <v>6.5</v>
      </c>
      <c r="H26" s="9" t="s">
        <v>461</v>
      </c>
    </row>
    <row r="27" spans="1:8" x14ac:dyDescent="0.25">
      <c r="A27" s="19">
        <v>46281</v>
      </c>
      <c r="B27" s="5" t="s">
        <v>61</v>
      </c>
      <c r="C27" s="5" t="str">
        <f>IFERROR(VLOOKUP(B27,'Rider Performance Tracker'!$A$4:$B$23,2,FALSE()),"")</f>
        <v>Manoj Das</v>
      </c>
      <c r="D27" s="20">
        <v>0.29236111111111102</v>
      </c>
      <c r="E27" s="20">
        <v>0.58402777777777803</v>
      </c>
      <c r="F27" s="5">
        <v>0.8</v>
      </c>
      <c r="G27" s="5">
        <f t="shared" si="1"/>
        <v>6.2</v>
      </c>
      <c r="H27" s="5" t="s">
        <v>461</v>
      </c>
    </row>
    <row r="28" spans="1:8" x14ac:dyDescent="0.25">
      <c r="A28" s="15">
        <v>46281</v>
      </c>
      <c r="B28" s="9" t="s">
        <v>68</v>
      </c>
      <c r="C28" s="9" t="str">
        <f>IFERROR(VLOOKUP(B28,'Rider Performance Tracker'!$A$4:$B$23,2,FALSE()),"")</f>
        <v>Vishal Chauhan</v>
      </c>
      <c r="D28" s="16">
        <v>0.37361111111111101</v>
      </c>
      <c r="E28" s="16">
        <v>0.66527777777777797</v>
      </c>
      <c r="F28" s="9">
        <v>0.7</v>
      </c>
      <c r="G28" s="9">
        <f t="shared" si="1"/>
        <v>6.3</v>
      </c>
      <c r="H28" s="9" t="s">
        <v>461</v>
      </c>
    </row>
    <row r="29" spans="1:8" x14ac:dyDescent="0.25">
      <c r="A29" s="19">
        <v>46281</v>
      </c>
      <c r="B29" s="5" t="s">
        <v>172</v>
      </c>
      <c r="C29" s="5" t="str">
        <f>IFERROR(VLOOKUP(B29,'Rider Performance Tracker'!$A$4:$B$23,2,FALSE()),"")</f>
        <v>Ajay Patil</v>
      </c>
      <c r="D29" s="20">
        <v>0.36458333333333298</v>
      </c>
      <c r="E29" s="20">
        <v>0.65625</v>
      </c>
      <c r="F29" s="5">
        <v>0.6</v>
      </c>
      <c r="G29" s="5">
        <f t="shared" si="1"/>
        <v>6.4</v>
      </c>
      <c r="H29" s="5" t="s">
        <v>461</v>
      </c>
    </row>
    <row r="30" spans="1:8" x14ac:dyDescent="0.25">
      <c r="A30" s="15">
        <v>46281</v>
      </c>
      <c r="B30" s="9" t="s">
        <v>176</v>
      </c>
      <c r="C30" s="9" t="str">
        <f>IFERROR(VLOOKUP(B30,'Rider Performance Tracker'!$A$4:$B$23,2,FALSE()),"")</f>
        <v>Suraj Shetty</v>
      </c>
      <c r="D30" s="9"/>
      <c r="E30" s="9"/>
      <c r="F30" s="9">
        <v>0</v>
      </c>
      <c r="G30" s="9">
        <v>0</v>
      </c>
      <c r="H30" s="9" t="s">
        <v>460</v>
      </c>
    </row>
    <row r="31" spans="1:8" x14ac:dyDescent="0.25">
      <c r="A31" s="19">
        <v>46281</v>
      </c>
      <c r="B31" s="5" t="s">
        <v>75</v>
      </c>
      <c r="C31" s="5" t="str">
        <f>IFERROR(VLOOKUP(B31,'Rider Performance Tracker'!$A$4:$B$23,2,FALSE()),"")</f>
        <v>Rohit Bose</v>
      </c>
      <c r="D31" s="20">
        <v>0.34166666666666701</v>
      </c>
      <c r="E31" s="20">
        <v>0.63333333333333297</v>
      </c>
      <c r="F31" s="5">
        <v>0.4</v>
      </c>
      <c r="G31" s="5">
        <f t="shared" ref="G31:G37" si="2">ROUND(((E31-D31)*24)-F31,1)</f>
        <v>6.6</v>
      </c>
      <c r="H31" s="5" t="s">
        <v>461</v>
      </c>
    </row>
    <row r="32" spans="1:8" x14ac:dyDescent="0.25">
      <c r="A32" s="15">
        <v>46281</v>
      </c>
      <c r="B32" s="9" t="s">
        <v>82</v>
      </c>
      <c r="C32" s="9" t="str">
        <f>IFERROR(VLOOKUP(B32,'Rider Performance Tracker'!$A$4:$B$23,2,FALSE()),"")</f>
        <v>Farhan Ali</v>
      </c>
      <c r="D32" s="16">
        <v>0.54930555555555605</v>
      </c>
      <c r="E32" s="16">
        <v>0.71597222222222201</v>
      </c>
      <c r="F32" s="9">
        <v>0.9</v>
      </c>
      <c r="G32" s="9">
        <f t="shared" si="2"/>
        <v>3.1</v>
      </c>
      <c r="H32" s="9" t="s">
        <v>462</v>
      </c>
    </row>
    <row r="33" spans="1:8" x14ac:dyDescent="0.25">
      <c r="A33" s="19">
        <v>46281</v>
      </c>
      <c r="B33" s="5" t="s">
        <v>180</v>
      </c>
      <c r="C33" s="5" t="str">
        <f>IFERROR(VLOOKUP(B33,'Rider Performance Tracker'!$A$4:$B$23,2,FALSE()),"")</f>
        <v>Gautam Joshi</v>
      </c>
      <c r="D33" s="20">
        <v>0.327083333333333</v>
      </c>
      <c r="E33" s="20">
        <v>0.61875000000000002</v>
      </c>
      <c r="F33" s="5">
        <v>0.8</v>
      </c>
      <c r="G33" s="5">
        <f t="shared" si="2"/>
        <v>6.2</v>
      </c>
      <c r="H33" s="5" t="s">
        <v>461</v>
      </c>
    </row>
    <row r="34" spans="1:8" x14ac:dyDescent="0.25">
      <c r="A34" s="15">
        <v>46281</v>
      </c>
      <c r="B34" s="9" t="s">
        <v>183</v>
      </c>
      <c r="C34" s="9" t="str">
        <f>IFERROR(VLOOKUP(B34,'Rider Performance Tracker'!$A$4:$B$23,2,FALSE()),"")</f>
        <v>Nikhil Rane</v>
      </c>
      <c r="D34" s="16">
        <v>0.57083333333333297</v>
      </c>
      <c r="E34" s="16">
        <v>0.73750000000000004</v>
      </c>
      <c r="F34" s="9">
        <v>0.5</v>
      </c>
      <c r="G34" s="9">
        <f t="shared" si="2"/>
        <v>3.5</v>
      </c>
      <c r="H34" s="9" t="s">
        <v>462</v>
      </c>
    </row>
    <row r="35" spans="1:8" x14ac:dyDescent="0.25">
      <c r="A35" s="19">
        <v>46281</v>
      </c>
      <c r="B35" s="5" t="s">
        <v>87</v>
      </c>
      <c r="C35" s="5" t="str">
        <f>IFERROR(VLOOKUP(B35,'Rider Performance Tracker'!$A$4:$B$23,2,FALSE()),"")</f>
        <v>Prakash Naidu</v>
      </c>
      <c r="D35" s="20">
        <v>0.38750000000000001</v>
      </c>
      <c r="E35" s="20">
        <v>0.67916666666666703</v>
      </c>
      <c r="F35" s="5">
        <v>0.9</v>
      </c>
      <c r="G35" s="5">
        <f t="shared" si="2"/>
        <v>6.1</v>
      </c>
      <c r="H35" s="5" t="s">
        <v>461</v>
      </c>
    </row>
    <row r="36" spans="1:8" x14ac:dyDescent="0.25">
      <c r="A36" s="15">
        <v>46281</v>
      </c>
      <c r="B36" s="9" t="s">
        <v>93</v>
      </c>
      <c r="C36" s="9" t="str">
        <f>IFERROR(VLOOKUP(B36,'Rider Performance Tracker'!$A$4:$B$23,2,FALSE()),"")</f>
        <v>Irfan Khan</v>
      </c>
      <c r="D36" s="16">
        <v>0.61458333333333304</v>
      </c>
      <c r="E36" s="16">
        <v>0.78125</v>
      </c>
      <c r="F36" s="9">
        <v>0.9</v>
      </c>
      <c r="G36" s="9">
        <f t="shared" si="2"/>
        <v>3.1</v>
      </c>
      <c r="H36" s="9" t="s">
        <v>462</v>
      </c>
    </row>
    <row r="37" spans="1:8" x14ac:dyDescent="0.25">
      <c r="A37" s="19">
        <v>46281</v>
      </c>
      <c r="B37" s="5" t="s">
        <v>186</v>
      </c>
      <c r="C37" s="5" t="str">
        <f>IFERROR(VLOOKUP(B37,'Rider Performance Tracker'!$A$4:$B$23,2,FALSE()),"")</f>
        <v>Tarun Bhatia</v>
      </c>
      <c r="D37" s="20">
        <v>0.35555555555555601</v>
      </c>
      <c r="E37" s="20">
        <v>0.64722222222222203</v>
      </c>
      <c r="F37" s="5">
        <v>0.5</v>
      </c>
      <c r="G37" s="5">
        <f t="shared" si="2"/>
        <v>6.5</v>
      </c>
      <c r="H37" s="5" t="s">
        <v>461</v>
      </c>
    </row>
    <row r="38" spans="1:8" x14ac:dyDescent="0.25">
      <c r="A38" s="15">
        <v>46281</v>
      </c>
      <c r="B38" s="9" t="s">
        <v>190</v>
      </c>
      <c r="C38" s="9" t="str">
        <f>IFERROR(VLOOKUP(B38,'Rider Performance Tracker'!$A$4:$B$23,2,FALSE()),"")</f>
        <v>Yusuf Sheikh</v>
      </c>
      <c r="D38" s="9"/>
      <c r="E38" s="9"/>
      <c r="F38" s="9">
        <v>0</v>
      </c>
      <c r="G38" s="9">
        <v>0</v>
      </c>
      <c r="H38" s="9" t="s">
        <v>460</v>
      </c>
    </row>
    <row r="39" spans="1:8" x14ac:dyDescent="0.25">
      <c r="A39" s="19">
        <v>46281</v>
      </c>
      <c r="B39" s="5" t="s">
        <v>100</v>
      </c>
      <c r="C39" s="5" t="str">
        <f>IFERROR(VLOOKUP(B39,'Rider Performance Tracker'!$A$4:$B$23,2,FALSE()),"")</f>
        <v>Aditya Menon</v>
      </c>
      <c r="D39" s="20">
        <v>0.32638888888888901</v>
      </c>
      <c r="E39" s="20">
        <v>0.61805555555555602</v>
      </c>
      <c r="F39" s="5">
        <v>0.6</v>
      </c>
      <c r="G39" s="5">
        <f>ROUND(((E39-D39)*24)-F39,1)</f>
        <v>6.4</v>
      </c>
      <c r="H39" s="5" t="s">
        <v>461</v>
      </c>
    </row>
    <row r="40" spans="1:8" x14ac:dyDescent="0.25">
      <c r="A40" s="15">
        <v>46281</v>
      </c>
      <c r="B40" s="9" t="s">
        <v>106</v>
      </c>
      <c r="C40" s="9" t="str">
        <f>IFERROR(VLOOKUP(B40,'Rider Performance Tracker'!$A$4:$B$23,2,FALSE()),"")</f>
        <v>Sameer Qureshi</v>
      </c>
      <c r="D40" s="16">
        <v>0.390972222222222</v>
      </c>
      <c r="E40" s="16">
        <v>0.68263888888888902</v>
      </c>
      <c r="F40" s="9">
        <v>0.6</v>
      </c>
      <c r="G40" s="9">
        <f>ROUND(((E40-D40)*24)-F40,1)</f>
        <v>6.4</v>
      </c>
      <c r="H40" s="9" t="s">
        <v>461</v>
      </c>
    </row>
    <row r="41" spans="1:8" x14ac:dyDescent="0.25">
      <c r="A41" s="19">
        <v>46281</v>
      </c>
      <c r="B41" s="5" t="s">
        <v>193</v>
      </c>
      <c r="C41" s="5" t="str">
        <f>IFERROR(VLOOKUP(B41,'Rider Performance Tracker'!$A$4:$B$23,2,FALSE()),"")</f>
        <v>Bala Murugan</v>
      </c>
      <c r="D41" s="5"/>
      <c r="E41" s="5"/>
      <c r="F41" s="5">
        <v>0</v>
      </c>
      <c r="G41" s="5">
        <v>0</v>
      </c>
      <c r="H41" s="5" t="s">
        <v>460</v>
      </c>
    </row>
    <row r="42" spans="1:8" x14ac:dyDescent="0.25">
      <c r="A42" s="15">
        <v>46281</v>
      </c>
      <c r="B42" s="9" t="s">
        <v>196</v>
      </c>
      <c r="C42" s="9" t="str">
        <f>IFERROR(VLOOKUP(B42,'Rider Performance Tracker'!$A$4:$B$23,2,FALSE()),"")</f>
        <v>Harish Chandra</v>
      </c>
      <c r="D42" s="16">
        <v>0.29444444444444501</v>
      </c>
      <c r="E42" s="16">
        <v>0.58611111111111103</v>
      </c>
      <c r="F42" s="9">
        <v>0.5</v>
      </c>
      <c r="G42" s="9">
        <f>ROUND(((E42-D42)*24)-F42,1)</f>
        <v>6.5</v>
      </c>
      <c r="H42" s="9" t="s">
        <v>461</v>
      </c>
    </row>
    <row r="43" spans="1:8" x14ac:dyDescent="0.25">
      <c r="A43" s="19">
        <v>46281</v>
      </c>
      <c r="B43" s="5" t="s">
        <v>113</v>
      </c>
      <c r="C43" s="5" t="str">
        <f>IFERROR(VLOOKUP(B43,'Rider Performance Tracker'!$A$4:$B$23,2,FALSE()),"")</f>
        <v>Dinesh Kumar</v>
      </c>
      <c r="D43" s="5"/>
      <c r="E43" s="5"/>
      <c r="F43" s="5">
        <v>0</v>
      </c>
      <c r="G43" s="5">
        <v>0</v>
      </c>
      <c r="H43" s="5" t="s">
        <v>460</v>
      </c>
    </row>
    <row r="44" spans="1:8" x14ac:dyDescent="0.25">
      <c r="A44" s="15">
        <v>46282</v>
      </c>
      <c r="B44" s="9" t="s">
        <v>54</v>
      </c>
      <c r="C44" s="9" t="str">
        <f>IFERROR(VLOOKUP(B44,'Rider Performance Tracker'!$A$4:$B$23,2,FALSE()),"")</f>
        <v>Rahul Verma</v>
      </c>
      <c r="D44" s="16">
        <v>0.39305555555555599</v>
      </c>
      <c r="E44" s="16">
        <v>0.68472222222222201</v>
      </c>
      <c r="F44" s="9">
        <v>0.8</v>
      </c>
      <c r="G44" s="9">
        <f t="shared" ref="G44:G60" si="3">ROUND(((E44-D44)*24)-F44,1)</f>
        <v>6.2</v>
      </c>
      <c r="H44" s="9" t="s">
        <v>461</v>
      </c>
    </row>
    <row r="45" spans="1:8" x14ac:dyDescent="0.25">
      <c r="A45" s="19">
        <v>46282</v>
      </c>
      <c r="B45" s="5" t="s">
        <v>200</v>
      </c>
      <c r="C45" s="5" t="str">
        <f>IFERROR(VLOOKUP(B45,'Rider Performance Tracker'!$A$4:$B$23,2,FALSE()),"")</f>
        <v>Sandeep Yadav</v>
      </c>
      <c r="D45" s="20">
        <v>0.50555555555555598</v>
      </c>
      <c r="E45" s="20">
        <v>0.67222222222222205</v>
      </c>
      <c r="F45" s="5">
        <v>1</v>
      </c>
      <c r="G45" s="5">
        <f t="shared" si="3"/>
        <v>3</v>
      </c>
      <c r="H45" s="5" t="s">
        <v>462</v>
      </c>
    </row>
    <row r="46" spans="1:8" x14ac:dyDescent="0.25">
      <c r="A46" s="15">
        <v>46282</v>
      </c>
      <c r="B46" s="9" t="s">
        <v>169</v>
      </c>
      <c r="C46" s="9" t="str">
        <f>IFERROR(VLOOKUP(B46,'Rider Performance Tracker'!$A$4:$B$23,2,FALSE()),"")</f>
        <v>Kiran Kumar</v>
      </c>
      <c r="D46" s="16">
        <v>0.35347222222222202</v>
      </c>
      <c r="E46" s="16">
        <v>0.64513888888888904</v>
      </c>
      <c r="F46" s="9">
        <v>0.8</v>
      </c>
      <c r="G46" s="9">
        <f t="shared" si="3"/>
        <v>6.2</v>
      </c>
      <c r="H46" s="9" t="s">
        <v>461</v>
      </c>
    </row>
    <row r="47" spans="1:8" x14ac:dyDescent="0.25">
      <c r="A47" s="19">
        <v>46282</v>
      </c>
      <c r="B47" s="5" t="s">
        <v>61</v>
      </c>
      <c r="C47" s="5" t="str">
        <f>IFERROR(VLOOKUP(B47,'Rider Performance Tracker'!$A$4:$B$23,2,FALSE()),"")</f>
        <v>Manoj Das</v>
      </c>
      <c r="D47" s="20">
        <v>0.40277777777777801</v>
      </c>
      <c r="E47" s="20">
        <v>0.69444444444444398</v>
      </c>
      <c r="F47" s="5">
        <v>0.7</v>
      </c>
      <c r="G47" s="5">
        <f t="shared" si="3"/>
        <v>6.3</v>
      </c>
      <c r="H47" s="5" t="s">
        <v>461</v>
      </c>
    </row>
    <row r="48" spans="1:8" x14ac:dyDescent="0.25">
      <c r="A48" s="15">
        <v>46282</v>
      </c>
      <c r="B48" s="9" t="s">
        <v>68</v>
      </c>
      <c r="C48" s="9" t="str">
        <f>IFERROR(VLOOKUP(B48,'Rider Performance Tracker'!$A$4:$B$23,2,FALSE()),"")</f>
        <v>Vishal Chauhan</v>
      </c>
      <c r="D48" s="16">
        <v>0.31041666666666701</v>
      </c>
      <c r="E48" s="16">
        <v>0.60208333333333297</v>
      </c>
      <c r="F48" s="9">
        <v>0.7</v>
      </c>
      <c r="G48" s="9">
        <f t="shared" si="3"/>
        <v>6.3</v>
      </c>
      <c r="H48" s="9" t="s">
        <v>461</v>
      </c>
    </row>
    <row r="49" spans="1:8" x14ac:dyDescent="0.25">
      <c r="A49" s="19">
        <v>46282</v>
      </c>
      <c r="B49" s="5" t="s">
        <v>172</v>
      </c>
      <c r="C49" s="5" t="str">
        <f>IFERROR(VLOOKUP(B49,'Rider Performance Tracker'!$A$4:$B$23,2,FALSE()),"")</f>
        <v>Ajay Patil</v>
      </c>
      <c r="D49" s="20">
        <v>0.52291666666666703</v>
      </c>
      <c r="E49" s="20">
        <v>0.68958333333333299</v>
      </c>
      <c r="F49" s="5">
        <v>0.4</v>
      </c>
      <c r="G49" s="5">
        <f t="shared" si="3"/>
        <v>3.6</v>
      </c>
      <c r="H49" s="5" t="s">
        <v>462</v>
      </c>
    </row>
    <row r="50" spans="1:8" x14ac:dyDescent="0.25">
      <c r="A50" s="15">
        <v>46282</v>
      </c>
      <c r="B50" s="9" t="s">
        <v>176</v>
      </c>
      <c r="C50" s="9" t="str">
        <f>IFERROR(VLOOKUP(B50,'Rider Performance Tracker'!$A$4:$B$23,2,FALSE()),"")</f>
        <v>Suraj Shetty</v>
      </c>
      <c r="D50" s="16">
        <v>0.374305555555556</v>
      </c>
      <c r="E50" s="16">
        <v>0.66597222222222197</v>
      </c>
      <c r="F50" s="9">
        <v>0.8</v>
      </c>
      <c r="G50" s="9">
        <f t="shared" si="3"/>
        <v>6.2</v>
      </c>
      <c r="H50" s="9" t="s">
        <v>461</v>
      </c>
    </row>
    <row r="51" spans="1:8" x14ac:dyDescent="0.25">
      <c r="A51" s="19">
        <v>46282</v>
      </c>
      <c r="B51" s="5" t="s">
        <v>75</v>
      </c>
      <c r="C51" s="5" t="str">
        <f>IFERROR(VLOOKUP(B51,'Rider Performance Tracker'!$A$4:$B$23,2,FALSE()),"")</f>
        <v>Rohit Bose</v>
      </c>
      <c r="D51" s="20">
        <v>0.41458333333333303</v>
      </c>
      <c r="E51" s="20">
        <v>0.70625000000000004</v>
      </c>
      <c r="F51" s="5">
        <v>0.5</v>
      </c>
      <c r="G51" s="5">
        <f t="shared" si="3"/>
        <v>6.5</v>
      </c>
      <c r="H51" s="5" t="s">
        <v>461</v>
      </c>
    </row>
    <row r="52" spans="1:8" x14ac:dyDescent="0.25">
      <c r="A52" s="15">
        <v>46282</v>
      </c>
      <c r="B52" s="9" t="s">
        <v>82</v>
      </c>
      <c r="C52" s="9" t="str">
        <f>IFERROR(VLOOKUP(B52,'Rider Performance Tracker'!$A$4:$B$23,2,FALSE()),"")</f>
        <v>Farhan Ali</v>
      </c>
      <c r="D52" s="16">
        <v>0.31944444444444398</v>
      </c>
      <c r="E52" s="16">
        <v>0.61111111111111105</v>
      </c>
      <c r="F52" s="9">
        <v>1</v>
      </c>
      <c r="G52" s="9">
        <f t="shared" si="3"/>
        <v>6</v>
      </c>
      <c r="H52" s="9" t="s">
        <v>461</v>
      </c>
    </row>
    <row r="53" spans="1:8" x14ac:dyDescent="0.25">
      <c r="A53" s="19">
        <v>46282</v>
      </c>
      <c r="B53" s="5" t="s">
        <v>180</v>
      </c>
      <c r="C53" s="5" t="str">
        <f>IFERROR(VLOOKUP(B53,'Rider Performance Tracker'!$A$4:$B$23,2,FALSE()),"")</f>
        <v>Gautam Joshi</v>
      </c>
      <c r="D53" s="20">
        <v>0.38819444444444501</v>
      </c>
      <c r="E53" s="20">
        <v>0.67986111111111103</v>
      </c>
      <c r="F53" s="5">
        <v>0.7</v>
      </c>
      <c r="G53" s="5">
        <f t="shared" si="3"/>
        <v>6.3</v>
      </c>
      <c r="H53" s="5" t="s">
        <v>461</v>
      </c>
    </row>
    <row r="54" spans="1:8" x14ac:dyDescent="0.25">
      <c r="A54" s="15">
        <v>46282</v>
      </c>
      <c r="B54" s="9" t="s">
        <v>183</v>
      </c>
      <c r="C54" s="9" t="str">
        <f>IFERROR(VLOOKUP(B54,'Rider Performance Tracker'!$A$4:$B$23,2,FALSE()),"")</f>
        <v>Nikhil Rane</v>
      </c>
      <c r="D54" s="16">
        <v>0.38194444444444398</v>
      </c>
      <c r="E54" s="16">
        <v>0.67361111111111105</v>
      </c>
      <c r="F54" s="9">
        <v>0.7</v>
      </c>
      <c r="G54" s="9">
        <f t="shared" si="3"/>
        <v>6.3</v>
      </c>
      <c r="H54" s="9" t="s">
        <v>461</v>
      </c>
    </row>
    <row r="55" spans="1:8" x14ac:dyDescent="0.25">
      <c r="A55" s="19">
        <v>46282</v>
      </c>
      <c r="B55" s="5" t="s">
        <v>87</v>
      </c>
      <c r="C55" s="5" t="str">
        <f>IFERROR(VLOOKUP(B55,'Rider Performance Tracker'!$A$4:$B$23,2,FALSE()),"")</f>
        <v>Prakash Naidu</v>
      </c>
      <c r="D55" s="20">
        <v>0.32083333333333303</v>
      </c>
      <c r="E55" s="20">
        <v>0.61250000000000004</v>
      </c>
      <c r="F55" s="5">
        <v>0.7</v>
      </c>
      <c r="G55" s="5">
        <f t="shared" si="3"/>
        <v>6.3</v>
      </c>
      <c r="H55" s="5" t="s">
        <v>461</v>
      </c>
    </row>
    <row r="56" spans="1:8" x14ac:dyDescent="0.25">
      <c r="A56" s="15">
        <v>46282</v>
      </c>
      <c r="B56" s="9" t="s">
        <v>93</v>
      </c>
      <c r="C56" s="9" t="str">
        <f>IFERROR(VLOOKUP(B56,'Rider Performance Tracker'!$A$4:$B$23,2,FALSE()),"")</f>
        <v>Irfan Khan</v>
      </c>
      <c r="D56" s="16">
        <v>0.57847222222222205</v>
      </c>
      <c r="E56" s="16">
        <v>0.74513888888888902</v>
      </c>
      <c r="F56" s="9">
        <v>0.9</v>
      </c>
      <c r="G56" s="9">
        <f t="shared" si="3"/>
        <v>3.1</v>
      </c>
      <c r="H56" s="9" t="s">
        <v>462</v>
      </c>
    </row>
    <row r="57" spans="1:8" x14ac:dyDescent="0.25">
      <c r="A57" s="19">
        <v>46282</v>
      </c>
      <c r="B57" s="5" t="s">
        <v>186</v>
      </c>
      <c r="C57" s="5" t="str">
        <f>IFERROR(VLOOKUP(B57,'Rider Performance Tracker'!$A$4:$B$23,2,FALSE()),"")</f>
        <v>Tarun Bhatia</v>
      </c>
      <c r="D57" s="20">
        <v>0.29513888888888901</v>
      </c>
      <c r="E57" s="20">
        <v>0.58680555555555602</v>
      </c>
      <c r="F57" s="5">
        <v>0.3</v>
      </c>
      <c r="G57" s="5">
        <f t="shared" si="3"/>
        <v>6.7</v>
      </c>
      <c r="H57" s="5" t="s">
        <v>461</v>
      </c>
    </row>
    <row r="58" spans="1:8" x14ac:dyDescent="0.25">
      <c r="A58" s="15">
        <v>46282</v>
      </c>
      <c r="B58" s="9" t="s">
        <v>190</v>
      </c>
      <c r="C58" s="9" t="str">
        <f>IFERROR(VLOOKUP(B58,'Rider Performance Tracker'!$A$4:$B$23,2,FALSE()),"")</f>
        <v>Yusuf Sheikh</v>
      </c>
      <c r="D58" s="16">
        <v>0.38611111111111102</v>
      </c>
      <c r="E58" s="16">
        <v>0.67777777777777803</v>
      </c>
      <c r="F58" s="9">
        <v>0.8</v>
      </c>
      <c r="G58" s="9">
        <f t="shared" si="3"/>
        <v>6.2</v>
      </c>
      <c r="H58" s="9" t="s">
        <v>461</v>
      </c>
    </row>
    <row r="59" spans="1:8" x14ac:dyDescent="0.25">
      <c r="A59" s="19">
        <v>46282</v>
      </c>
      <c r="B59" s="5" t="s">
        <v>100</v>
      </c>
      <c r="C59" s="5" t="str">
        <f>IFERROR(VLOOKUP(B59,'Rider Performance Tracker'!$A$4:$B$23,2,FALSE()),"")</f>
        <v>Aditya Menon</v>
      </c>
      <c r="D59" s="20">
        <v>0.360416666666667</v>
      </c>
      <c r="E59" s="20">
        <v>0.65208333333333302</v>
      </c>
      <c r="F59" s="5">
        <v>0.7</v>
      </c>
      <c r="G59" s="5">
        <f t="shared" si="3"/>
        <v>6.3</v>
      </c>
      <c r="H59" s="5" t="s">
        <v>461</v>
      </c>
    </row>
    <row r="60" spans="1:8" x14ac:dyDescent="0.25">
      <c r="A60" s="15">
        <v>46282</v>
      </c>
      <c r="B60" s="9" t="s">
        <v>106</v>
      </c>
      <c r="C60" s="9" t="str">
        <f>IFERROR(VLOOKUP(B60,'Rider Performance Tracker'!$A$4:$B$23,2,FALSE()),"")</f>
        <v>Sameer Qureshi</v>
      </c>
      <c r="D60" s="16">
        <v>0.39861111111111103</v>
      </c>
      <c r="E60" s="16">
        <v>0.69027777777777799</v>
      </c>
      <c r="F60" s="9">
        <v>0.5</v>
      </c>
      <c r="G60" s="9">
        <f t="shared" si="3"/>
        <v>6.5</v>
      </c>
      <c r="H60" s="9" t="s">
        <v>461</v>
      </c>
    </row>
    <row r="61" spans="1:8" x14ac:dyDescent="0.25">
      <c r="A61" s="19">
        <v>46282</v>
      </c>
      <c r="B61" s="5" t="s">
        <v>193</v>
      </c>
      <c r="C61" s="5" t="str">
        <f>IFERROR(VLOOKUP(B61,'Rider Performance Tracker'!$A$4:$B$23,2,FALSE()),"")</f>
        <v>Bala Murugan</v>
      </c>
      <c r="D61" s="5"/>
      <c r="E61" s="5"/>
      <c r="F61" s="5">
        <v>0</v>
      </c>
      <c r="G61" s="5">
        <v>0</v>
      </c>
      <c r="H61" s="5" t="s">
        <v>460</v>
      </c>
    </row>
    <row r="62" spans="1:8" x14ac:dyDescent="0.25">
      <c r="A62" s="15">
        <v>46282</v>
      </c>
      <c r="B62" s="9" t="s">
        <v>196</v>
      </c>
      <c r="C62" s="9" t="str">
        <f>IFERROR(VLOOKUP(B62,'Rider Performance Tracker'!$A$4:$B$23,2,FALSE()),"")</f>
        <v>Harish Chandra</v>
      </c>
      <c r="D62" s="16">
        <v>0.39236111111111099</v>
      </c>
      <c r="E62" s="16">
        <v>0.68402777777777801</v>
      </c>
      <c r="F62" s="9">
        <v>0.5</v>
      </c>
      <c r="G62" s="9">
        <f>ROUND(((E62-D62)*24)-F62,1)</f>
        <v>6.5</v>
      </c>
      <c r="H62" s="9" t="s">
        <v>461</v>
      </c>
    </row>
    <row r="63" spans="1:8" x14ac:dyDescent="0.25">
      <c r="A63" s="19">
        <v>46282</v>
      </c>
      <c r="B63" s="5" t="s">
        <v>113</v>
      </c>
      <c r="C63" s="5" t="str">
        <f>IFERROR(VLOOKUP(B63,'Rider Performance Tracker'!$A$4:$B$23,2,FALSE()),"")</f>
        <v>Dinesh Kumar</v>
      </c>
      <c r="D63" s="20">
        <v>0.29861111111111099</v>
      </c>
      <c r="E63" s="20">
        <v>0.59027777777777801</v>
      </c>
      <c r="F63" s="5">
        <v>0.6</v>
      </c>
      <c r="G63" s="5">
        <f>ROUND(((E63-D63)*24)-F63,1)</f>
        <v>6.4</v>
      </c>
      <c r="H63" s="5" t="s">
        <v>461</v>
      </c>
    </row>
  </sheetData>
  <autoFilter ref="A3:H63" xr:uid="{00000000-0009-0000-0000-000008000000}"/>
  <mergeCells count="2">
    <mergeCell ref="A1:H1"/>
    <mergeCell ref="A2:H2"/>
  </mergeCells>
  <conditionalFormatting sqref="H4:H63">
    <cfRule type="expression" dxfId="7" priority="2">
      <formula>H4="Absent"</formula>
    </cfRule>
    <cfRule type="expression" dxfId="6" priority="3">
      <formula>H4="Present"</formula>
    </cfRule>
    <cfRule type="expression" dxfId="5" priority="4">
      <formula>OR(H4="Half Day",H4="Leave")</formula>
    </cfRule>
  </conditionalFormatting>
  <dataValidations count="1">
    <dataValidation type="list" allowBlank="1" sqref="H4:H63" xr:uid="{00000000-0002-0000-0800-000000000000}">
      <formula1>"Present,Absent,Half Day,Leave"</formula1>
      <formula2>0</formula2>
    </dataValidation>
  </dataValidations>
  <printOptions horizontalCentered="1"/>
  <pageMargins left="0.75" right="0.75" top="1" bottom="1" header="0.511811023622047" footer="0.511811023622047"/>
  <pageSetup paperSize="9"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6600"/>
    <pageSetUpPr fitToPage="1"/>
  </sheetPr>
  <dimension ref="A1:G18"/>
  <sheetViews>
    <sheetView showGridLines="0" zoomScaleNormal="100" workbookViewId="0">
      <pane ySplit="3" topLeftCell="A4" activePane="bottomLeft" state="frozen"/>
      <selection pane="bottomLeft" sqref="A1:G1"/>
    </sheetView>
  </sheetViews>
  <sheetFormatPr defaultColWidth="8.7109375" defaultRowHeight="15" x14ac:dyDescent="0.25"/>
  <cols>
    <col min="1" max="1" width="14" customWidth="1"/>
    <col min="2" max="2" width="12" customWidth="1"/>
    <col min="3" max="5" width="16" customWidth="1"/>
    <col min="6" max="6" width="14" customWidth="1"/>
    <col min="7" max="7" width="16" customWidth="1"/>
  </cols>
  <sheetData>
    <row r="1" spans="1:7" ht="33.75" customHeight="1" x14ac:dyDescent="0.25">
      <c r="A1" s="27" t="s">
        <v>464</v>
      </c>
      <c r="B1" s="27"/>
      <c r="C1" s="27"/>
      <c r="D1" s="27"/>
      <c r="E1" s="27"/>
      <c r="F1" s="27"/>
      <c r="G1" s="27"/>
    </row>
    <row r="2" spans="1:7" ht="18" customHeight="1" x14ac:dyDescent="0.25">
      <c r="A2" s="28" t="s">
        <v>465</v>
      </c>
      <c r="B2" s="28"/>
      <c r="C2" s="28"/>
      <c r="D2" s="28"/>
      <c r="E2" s="28"/>
      <c r="F2" s="28"/>
      <c r="G2" s="28"/>
    </row>
    <row r="3" spans="1:7" ht="27.75" customHeight="1" x14ac:dyDescent="0.25">
      <c r="A3" s="13" t="s">
        <v>466</v>
      </c>
      <c r="B3" s="13" t="s">
        <v>33</v>
      </c>
      <c r="C3" s="13" t="s">
        <v>17</v>
      </c>
      <c r="D3" s="13" t="s">
        <v>467</v>
      </c>
      <c r="E3" s="13" t="s">
        <v>468</v>
      </c>
      <c r="F3" s="13" t="s">
        <v>43</v>
      </c>
      <c r="G3" s="13" t="s">
        <v>469</v>
      </c>
    </row>
    <row r="4" spans="1:7" x14ac:dyDescent="0.25">
      <c r="A4" s="9" t="s">
        <v>470</v>
      </c>
      <c r="B4" s="9" t="s">
        <v>260</v>
      </c>
      <c r="C4" s="9" t="str">
        <f>VLOOKUP(B4,'Daily Order Tracker'!$B$4:$E$93,4,FALSE())</f>
        <v>Sarjapur</v>
      </c>
      <c r="D4" s="9" t="s">
        <v>471</v>
      </c>
      <c r="E4" s="9">
        <v>12</v>
      </c>
      <c r="F4" s="9" t="s">
        <v>472</v>
      </c>
      <c r="G4" s="9" t="s">
        <v>473</v>
      </c>
    </row>
    <row r="5" spans="1:7" x14ac:dyDescent="0.25">
      <c r="A5" s="5" t="s">
        <v>474</v>
      </c>
      <c r="B5" s="5" t="s">
        <v>255</v>
      </c>
      <c r="C5" s="5" t="str">
        <f>VLOOKUP(B5,'Daily Order Tracker'!$B$4:$E$93,4,FALSE())</f>
        <v>BTM Layout</v>
      </c>
      <c r="D5" s="5" t="s">
        <v>471</v>
      </c>
      <c r="E5" s="5">
        <v>12.3</v>
      </c>
      <c r="F5" s="5" t="s">
        <v>472</v>
      </c>
      <c r="G5" s="5" t="s">
        <v>475</v>
      </c>
    </row>
    <row r="6" spans="1:7" x14ac:dyDescent="0.25">
      <c r="A6" s="9" t="s">
        <v>476</v>
      </c>
      <c r="B6" s="9" t="s">
        <v>162</v>
      </c>
      <c r="C6" s="9" t="str">
        <f>VLOOKUP(B6,'Daily Order Tracker'!$B$4:$E$93,4,FALSE())</f>
        <v>Bellandur</v>
      </c>
      <c r="D6" s="9" t="s">
        <v>477</v>
      </c>
      <c r="E6" s="9">
        <v>45.4</v>
      </c>
      <c r="F6" s="9" t="s">
        <v>472</v>
      </c>
      <c r="G6" s="9" t="s">
        <v>478</v>
      </c>
    </row>
    <row r="7" spans="1:7" x14ac:dyDescent="0.25">
      <c r="A7" s="5" t="s">
        <v>479</v>
      </c>
      <c r="B7" s="5" t="s">
        <v>218</v>
      </c>
      <c r="C7" s="5" t="str">
        <f>VLOOKUP(B7,'Daily Order Tracker'!$B$4:$E$93,4,FALSE())</f>
        <v>Bellandur</v>
      </c>
      <c r="D7" s="5" t="s">
        <v>480</v>
      </c>
      <c r="E7" s="5"/>
      <c r="F7" s="5" t="s">
        <v>481</v>
      </c>
      <c r="G7" s="5" t="s">
        <v>473</v>
      </c>
    </row>
    <row r="8" spans="1:7" x14ac:dyDescent="0.25">
      <c r="A8" s="9" t="s">
        <v>482</v>
      </c>
      <c r="B8" s="9" t="s">
        <v>136</v>
      </c>
      <c r="C8" s="9" t="str">
        <f>VLOOKUP(B8,'Daily Order Tracker'!$B$4:$E$93,4,FALSE())</f>
        <v>Bellandur</v>
      </c>
      <c r="D8" s="9" t="s">
        <v>483</v>
      </c>
      <c r="E8" s="9"/>
      <c r="F8" s="9" t="s">
        <v>484</v>
      </c>
      <c r="G8" s="9" t="s">
        <v>473</v>
      </c>
    </row>
    <row r="9" spans="1:7" x14ac:dyDescent="0.25">
      <c r="A9" s="5" t="s">
        <v>485</v>
      </c>
      <c r="B9" s="5" t="s">
        <v>210</v>
      </c>
      <c r="C9" s="5" t="str">
        <f>VLOOKUP(B9,'Daily Order Tracker'!$B$4:$E$93,4,FALSE())</f>
        <v>Marathahalli</v>
      </c>
      <c r="D9" s="5" t="s">
        <v>480</v>
      </c>
      <c r="E9" s="5"/>
      <c r="F9" s="5" t="s">
        <v>481</v>
      </c>
      <c r="G9" s="5" t="s">
        <v>478</v>
      </c>
    </row>
    <row r="10" spans="1:7" x14ac:dyDescent="0.25">
      <c r="A10" s="9" t="s">
        <v>486</v>
      </c>
      <c r="B10" s="9" t="s">
        <v>277</v>
      </c>
      <c r="C10" s="9" t="str">
        <f>VLOOKUP(B10,'Daily Order Tracker'!$B$4:$E$93,4,FALSE())</f>
        <v>BTM Layout</v>
      </c>
      <c r="D10" s="9" t="s">
        <v>487</v>
      </c>
      <c r="E10" s="9"/>
      <c r="F10" s="9" t="s">
        <v>484</v>
      </c>
      <c r="G10" s="9" t="s">
        <v>478</v>
      </c>
    </row>
    <row r="11" spans="1:7" x14ac:dyDescent="0.25">
      <c r="A11" s="5" t="s">
        <v>488</v>
      </c>
      <c r="B11" s="5" t="s">
        <v>220</v>
      </c>
      <c r="C11" s="5" t="str">
        <f>VLOOKUP(B11,'Daily Order Tracker'!$B$4:$E$93,4,FALSE())</f>
        <v>Sarjapur</v>
      </c>
      <c r="D11" s="5" t="s">
        <v>471</v>
      </c>
      <c r="E11" s="5">
        <v>24.1</v>
      </c>
      <c r="F11" s="5" t="s">
        <v>472</v>
      </c>
      <c r="G11" s="5" t="s">
        <v>478</v>
      </c>
    </row>
    <row r="12" spans="1:7" x14ac:dyDescent="0.25">
      <c r="A12" s="9" t="s">
        <v>489</v>
      </c>
      <c r="B12" s="9" t="s">
        <v>237</v>
      </c>
      <c r="C12" s="9" t="str">
        <f>VLOOKUP(B12,'Daily Order Tracker'!$B$4:$E$93,4,FALSE())</f>
        <v>BTM Layout</v>
      </c>
      <c r="D12" s="9" t="s">
        <v>487</v>
      </c>
      <c r="E12" s="9"/>
      <c r="F12" s="9" t="s">
        <v>484</v>
      </c>
      <c r="G12" s="9" t="s">
        <v>490</v>
      </c>
    </row>
    <row r="13" spans="1:7" x14ac:dyDescent="0.25">
      <c r="A13" s="5" t="s">
        <v>491</v>
      </c>
      <c r="B13" s="5" t="s">
        <v>101</v>
      </c>
      <c r="C13" s="5" t="str">
        <f>VLOOKUP(B13,'Daily Order Tracker'!$B$4:$E$93,4,FALSE())</f>
        <v>Bellandur</v>
      </c>
      <c r="D13" s="5" t="s">
        <v>477</v>
      </c>
      <c r="E13" s="5"/>
      <c r="F13" s="5" t="s">
        <v>481</v>
      </c>
      <c r="G13" s="5" t="s">
        <v>473</v>
      </c>
    </row>
    <row r="14" spans="1:7" x14ac:dyDescent="0.25">
      <c r="A14" s="9" t="s">
        <v>492</v>
      </c>
      <c r="B14" s="9" t="s">
        <v>231</v>
      </c>
      <c r="C14" s="9" t="str">
        <f>VLOOKUP(B14,'Daily Order Tracker'!$B$4:$E$93,4,FALSE())</f>
        <v>Electronic City</v>
      </c>
      <c r="D14" s="9" t="s">
        <v>471</v>
      </c>
      <c r="E14" s="9"/>
      <c r="F14" s="9" t="s">
        <v>493</v>
      </c>
      <c r="G14" s="9" t="s">
        <v>473</v>
      </c>
    </row>
    <row r="15" spans="1:7" x14ac:dyDescent="0.25">
      <c r="A15" s="5" t="s">
        <v>494</v>
      </c>
      <c r="B15" s="5" t="s">
        <v>154</v>
      </c>
      <c r="C15" s="5" t="str">
        <f>VLOOKUP(B15,'Daily Order Tracker'!$B$4:$E$93,4,FALSE())</f>
        <v>Marathahalli</v>
      </c>
      <c r="D15" s="5" t="s">
        <v>483</v>
      </c>
      <c r="E15" s="5">
        <v>28.9</v>
      </c>
      <c r="F15" s="5" t="s">
        <v>472</v>
      </c>
      <c r="G15" s="5" t="s">
        <v>478</v>
      </c>
    </row>
    <row r="16" spans="1:7" x14ac:dyDescent="0.25">
      <c r="A16" s="9" t="s">
        <v>495</v>
      </c>
      <c r="B16" s="9" t="s">
        <v>184</v>
      </c>
      <c r="C16" s="9" t="str">
        <f>VLOOKUP(B16,'Daily Order Tracker'!$B$4:$E$93,4,FALSE())</f>
        <v>JP Nagar</v>
      </c>
      <c r="D16" s="9" t="s">
        <v>471</v>
      </c>
      <c r="E16" s="9">
        <v>26</v>
      </c>
      <c r="F16" s="9" t="s">
        <v>472</v>
      </c>
      <c r="G16" s="9" t="s">
        <v>478</v>
      </c>
    </row>
    <row r="17" spans="1:7" x14ac:dyDescent="0.25">
      <c r="A17" s="5" t="s">
        <v>496</v>
      </c>
      <c r="B17" s="5" t="s">
        <v>197</v>
      </c>
      <c r="C17" s="5" t="str">
        <f>VLOOKUP(B17,'Daily Order Tracker'!$B$4:$E$93,4,FALSE())</f>
        <v>Koramangala</v>
      </c>
      <c r="D17" s="5" t="s">
        <v>497</v>
      </c>
      <c r="E17" s="5"/>
      <c r="F17" s="5" t="s">
        <v>481</v>
      </c>
      <c r="G17" s="5" t="s">
        <v>473</v>
      </c>
    </row>
    <row r="18" spans="1:7" x14ac:dyDescent="0.25">
      <c r="A18" s="9" t="s">
        <v>498</v>
      </c>
      <c r="B18" s="9" t="s">
        <v>88</v>
      </c>
      <c r="C18" s="9" t="str">
        <f>VLOOKUP(B18,'Daily Order Tracker'!$B$4:$E$93,4,FALSE())</f>
        <v>JP Nagar</v>
      </c>
      <c r="D18" s="9" t="s">
        <v>487</v>
      </c>
      <c r="E18" s="9">
        <v>17.899999999999999</v>
      </c>
      <c r="F18" s="9" t="s">
        <v>472</v>
      </c>
      <c r="G18" s="9" t="s">
        <v>475</v>
      </c>
    </row>
  </sheetData>
  <autoFilter ref="A3:G18" xr:uid="{00000000-0009-0000-0000-000009000000}"/>
  <mergeCells count="2">
    <mergeCell ref="A1:G1"/>
    <mergeCell ref="A2:G2"/>
  </mergeCells>
  <conditionalFormatting sqref="F4:F18">
    <cfRule type="expression" dxfId="4" priority="2">
      <formula>F4="Escalated"</formula>
    </cfRule>
    <cfRule type="expression" dxfId="3" priority="3">
      <formula>F4="Resolved"</formula>
    </cfRule>
    <cfRule type="expression" dxfId="2" priority="4">
      <formula>OR(F4="Open",F4="In Progress")</formula>
    </cfRule>
  </conditionalFormatting>
  <dataValidations count="3">
    <dataValidation type="list" allowBlank="1" sqref="F4:F18" xr:uid="{00000000-0002-0000-0900-000000000000}">
      <formula1>"Open,In Progress,Resolved,Escalated"</formula1>
      <formula2>0</formula2>
    </dataValidation>
    <dataValidation type="list" allowBlank="1" sqref="D4:D18" xr:uid="{00000000-0002-0000-0900-000001000000}">
      <formula1>"Wrong Order,Late Delivery,Food Quality,Rider Behaviour,Missing Item,Refund Issue"</formula1>
      <formula2>0</formula2>
    </dataValidation>
    <dataValidation type="list" allowBlank="1" sqref="G4:G18" xr:uid="{00000000-0002-0000-0900-000002000000}">
      <formula1>"Kitchen Ops,Rider Ops,Customer Support,Logistics"</formula1>
      <formula2>0</formula2>
    </dataValidation>
  </dataValidations>
  <printOptions horizontalCentered="1"/>
  <pageMargins left="0.75" right="0.75" top="1" bottom="1" header="0.511811023622047" footer="0.511811023622047"/>
  <pageSetup paperSize="9" fitToHeight="0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6600"/>
    <pageSetUpPr fitToPage="1"/>
  </sheetPr>
  <dimension ref="A1:G13"/>
  <sheetViews>
    <sheetView showGridLines="0" zoomScaleNormal="100" workbookViewId="0">
      <pane ySplit="3" topLeftCell="A4" activePane="bottomLeft" state="frozen"/>
      <selection pane="bottomLeft" activeCell="G17" sqref="G17"/>
    </sheetView>
  </sheetViews>
  <sheetFormatPr defaultColWidth="8.7109375" defaultRowHeight="15" x14ac:dyDescent="0.25"/>
  <cols>
    <col min="1" max="1" width="12" customWidth="1"/>
    <col min="2" max="2" width="16" customWidth="1"/>
    <col min="3" max="3" width="14" customWidth="1"/>
    <col min="4" max="4" width="24" customWidth="1"/>
    <col min="5" max="5" width="16" customWidth="1"/>
    <col min="6" max="6" width="18" customWidth="1"/>
    <col min="7" max="7" width="20" customWidth="1"/>
  </cols>
  <sheetData>
    <row r="1" spans="1:7" ht="33.75" customHeight="1" x14ac:dyDescent="0.25">
      <c r="A1" s="27" t="s">
        <v>499</v>
      </c>
      <c r="B1" s="27"/>
      <c r="C1" s="27"/>
      <c r="D1" s="27"/>
      <c r="E1" s="27"/>
      <c r="F1" s="27"/>
      <c r="G1" s="27"/>
    </row>
    <row r="2" spans="1:7" ht="18" customHeight="1" x14ac:dyDescent="0.25">
      <c r="A2" s="28" t="s">
        <v>500</v>
      </c>
      <c r="B2" s="28"/>
      <c r="C2" s="28"/>
      <c r="D2" s="28"/>
      <c r="E2" s="28"/>
      <c r="F2" s="28"/>
      <c r="G2" s="28"/>
    </row>
    <row r="3" spans="1:7" ht="27.75" customHeight="1" x14ac:dyDescent="0.25">
      <c r="A3" s="13" t="s">
        <v>33</v>
      </c>
      <c r="B3" s="13" t="s">
        <v>17</v>
      </c>
      <c r="C3" s="13" t="s">
        <v>501</v>
      </c>
      <c r="D3" s="13" t="s">
        <v>502</v>
      </c>
      <c r="E3" s="13" t="s">
        <v>503</v>
      </c>
      <c r="F3" s="13" t="s">
        <v>504</v>
      </c>
      <c r="G3" s="13" t="s">
        <v>505</v>
      </c>
    </row>
    <row r="4" spans="1:7" x14ac:dyDescent="0.25">
      <c r="A4" s="9" t="s">
        <v>147</v>
      </c>
      <c r="B4" s="9" t="str">
        <f>VLOOKUP(A4,'Daily Order Tracker'!$B$4:$E$93,4,FALSE())</f>
        <v>Indiranagar</v>
      </c>
      <c r="C4" s="10">
        <f>VLOOKUP(A4,'Daily Order Tracker'!$B$4:$P$93,15,FALSE())</f>
        <v>542</v>
      </c>
      <c r="D4" s="9" t="s">
        <v>506</v>
      </c>
      <c r="E4" s="10">
        <f>C4*1</f>
        <v>542</v>
      </c>
      <c r="F4" s="9" t="s">
        <v>507</v>
      </c>
      <c r="G4" s="9" t="s">
        <v>508</v>
      </c>
    </row>
    <row r="5" spans="1:7" x14ac:dyDescent="0.25">
      <c r="A5" s="5" t="s">
        <v>150</v>
      </c>
      <c r="B5" s="5" t="str">
        <f>VLOOKUP(A5,'Daily Order Tracker'!$B$4:$E$93,4,FALSE())</f>
        <v>Whitefield</v>
      </c>
      <c r="C5" s="6">
        <f>VLOOKUP(A5,'Daily Order Tracker'!$B$4:$P$93,15,FALSE())</f>
        <v>348</v>
      </c>
      <c r="D5" s="5" t="s">
        <v>509</v>
      </c>
      <c r="E5" s="6">
        <f>C5*1</f>
        <v>348</v>
      </c>
      <c r="F5" s="5" t="s">
        <v>507</v>
      </c>
      <c r="G5" s="5" t="s">
        <v>510</v>
      </c>
    </row>
    <row r="6" spans="1:7" x14ac:dyDescent="0.25">
      <c r="A6" s="9" t="s">
        <v>181</v>
      </c>
      <c r="B6" s="9" t="str">
        <f>VLOOKUP(A6,'Daily Order Tracker'!$B$4:$E$93,4,FALSE())</f>
        <v>Marathahalli</v>
      </c>
      <c r="C6" s="10">
        <f>VLOOKUP(A6,'Daily Order Tracker'!$B$4:$P$93,15,FALSE())</f>
        <v>147</v>
      </c>
      <c r="D6" s="9" t="s">
        <v>511</v>
      </c>
      <c r="E6" s="10">
        <f>C6*0.9</f>
        <v>132.30000000000001</v>
      </c>
      <c r="F6" s="9" t="s">
        <v>512</v>
      </c>
      <c r="G6" s="9" t="s">
        <v>513</v>
      </c>
    </row>
    <row r="7" spans="1:7" x14ac:dyDescent="0.25">
      <c r="A7" s="5" t="s">
        <v>194</v>
      </c>
      <c r="B7" s="5" t="str">
        <f>VLOOKUP(A7,'Daily Order Tracker'!$B$4:$E$93,4,FALSE())</f>
        <v>Sarjapur</v>
      </c>
      <c r="C7" s="6">
        <f>VLOOKUP(A7,'Daily Order Tracker'!$B$4:$P$93,15,FALSE())</f>
        <v>469</v>
      </c>
      <c r="D7" s="5" t="s">
        <v>514</v>
      </c>
      <c r="E7" s="6">
        <f t="shared" ref="E7:E13" si="0">C7*1</f>
        <v>469</v>
      </c>
      <c r="F7" s="5" t="s">
        <v>507</v>
      </c>
      <c r="G7" s="5" t="s">
        <v>510</v>
      </c>
    </row>
    <row r="8" spans="1:7" x14ac:dyDescent="0.25">
      <c r="A8" s="9" t="s">
        <v>225</v>
      </c>
      <c r="B8" s="9" t="str">
        <f>VLOOKUP(A8,'Daily Order Tracker'!$B$4:$E$93,4,FALSE())</f>
        <v>HSR Layout</v>
      </c>
      <c r="C8" s="10">
        <f>VLOOKUP(A8,'Daily Order Tracker'!$B$4:$P$93,15,FALSE())</f>
        <v>376</v>
      </c>
      <c r="D8" s="9" t="s">
        <v>506</v>
      </c>
      <c r="E8" s="10">
        <f t="shared" si="0"/>
        <v>376</v>
      </c>
      <c r="F8" s="9" t="s">
        <v>507</v>
      </c>
      <c r="G8" s="9" t="s">
        <v>513</v>
      </c>
    </row>
    <row r="9" spans="1:7" x14ac:dyDescent="0.25">
      <c r="A9" s="5" t="s">
        <v>251</v>
      </c>
      <c r="B9" s="5" t="str">
        <f>VLOOKUP(A9,'Daily Order Tracker'!$B$4:$E$93,4,FALSE())</f>
        <v>Marathahalli</v>
      </c>
      <c r="C9" s="6">
        <f>VLOOKUP(A9,'Daily Order Tracker'!$B$4:$P$93,15,FALSE())</f>
        <v>401</v>
      </c>
      <c r="D9" s="5" t="s">
        <v>515</v>
      </c>
      <c r="E9" s="6">
        <f t="shared" si="0"/>
        <v>401</v>
      </c>
      <c r="F9" s="5" t="s">
        <v>516</v>
      </c>
      <c r="G9" s="5" t="s">
        <v>517</v>
      </c>
    </row>
    <row r="10" spans="1:7" x14ac:dyDescent="0.25">
      <c r="A10" s="9" t="s">
        <v>267</v>
      </c>
      <c r="B10" s="9" t="str">
        <f>VLOOKUP(A10,'Daily Order Tracker'!$B$4:$E$93,4,FALSE())</f>
        <v>Indiranagar</v>
      </c>
      <c r="C10" s="10">
        <f>VLOOKUP(A10,'Daily Order Tracker'!$B$4:$P$93,15,FALSE())</f>
        <v>330</v>
      </c>
      <c r="D10" s="9" t="s">
        <v>509</v>
      </c>
      <c r="E10" s="10">
        <f t="shared" si="0"/>
        <v>330</v>
      </c>
      <c r="F10" s="9" t="s">
        <v>518</v>
      </c>
      <c r="G10" s="9" t="s">
        <v>513</v>
      </c>
    </row>
    <row r="11" spans="1:7" x14ac:dyDescent="0.25">
      <c r="A11" s="5" t="s">
        <v>273</v>
      </c>
      <c r="B11" s="5" t="str">
        <f>VLOOKUP(A11,'Daily Order Tracker'!$B$4:$E$93,4,FALSE())</f>
        <v>Marathahalli</v>
      </c>
      <c r="C11" s="6">
        <f>VLOOKUP(A11,'Daily Order Tracker'!$B$4:$P$93,15,FALSE())</f>
        <v>574</v>
      </c>
      <c r="D11" s="5" t="s">
        <v>509</v>
      </c>
      <c r="E11" s="6">
        <f t="shared" si="0"/>
        <v>574</v>
      </c>
      <c r="F11" s="5" t="s">
        <v>22</v>
      </c>
      <c r="G11" s="5" t="s">
        <v>508</v>
      </c>
    </row>
    <row r="12" spans="1:7" x14ac:dyDescent="0.25">
      <c r="A12" s="9" t="s">
        <v>275</v>
      </c>
      <c r="B12" s="9" t="str">
        <f>VLOOKUP(A12,'Daily Order Tracker'!$B$4:$E$93,4,FALSE())</f>
        <v>JP Nagar</v>
      </c>
      <c r="C12" s="10">
        <f>VLOOKUP(A12,'Daily Order Tracker'!$B$4:$P$93,15,FALSE())</f>
        <v>560</v>
      </c>
      <c r="D12" s="9" t="s">
        <v>506</v>
      </c>
      <c r="E12" s="10">
        <f t="shared" si="0"/>
        <v>560</v>
      </c>
      <c r="F12" s="9" t="s">
        <v>507</v>
      </c>
      <c r="G12" s="9" t="s">
        <v>517</v>
      </c>
    </row>
    <row r="13" spans="1:7" x14ac:dyDescent="0.25">
      <c r="A13" s="5" t="s">
        <v>289</v>
      </c>
      <c r="B13" s="5" t="str">
        <f>VLOOKUP(A13,'Daily Order Tracker'!$B$4:$E$93,4,FALSE())</f>
        <v>Whitefield</v>
      </c>
      <c r="C13" s="6">
        <f>VLOOKUP(A13,'Daily Order Tracker'!$B$4:$P$93,15,FALSE())</f>
        <v>176</v>
      </c>
      <c r="D13" s="5" t="s">
        <v>506</v>
      </c>
      <c r="E13" s="6">
        <f t="shared" si="0"/>
        <v>176</v>
      </c>
      <c r="F13" s="5" t="s">
        <v>516</v>
      </c>
      <c r="G13" s="5" t="s">
        <v>513</v>
      </c>
    </row>
  </sheetData>
  <autoFilter ref="A3:G13" xr:uid="{00000000-0009-0000-0000-00000A000000}"/>
  <mergeCells count="2">
    <mergeCell ref="A1:G1"/>
    <mergeCell ref="A2:G2"/>
  </mergeCells>
  <conditionalFormatting sqref="G4:G13">
    <cfRule type="expression" dxfId="1" priority="2">
      <formula>G4="Non-recoverable"</formula>
    </cfRule>
    <cfRule type="expression" dxfId="0" priority="3">
      <formula>ISNUMBER(SEARCH("Refunded",G4))</formula>
    </cfRule>
  </conditionalFormatting>
  <dataValidations count="1">
    <dataValidation type="list" allowBlank="1" sqref="F4:F13" xr:uid="{00000000-0002-0000-0A00-000000000000}">
      <formula1>"Order Placement,Kitchen,Rider Assignment,Delivery,Payment"</formula1>
      <formula2>0</formula2>
    </dataValidation>
  </dataValidations>
  <printOptions horizontalCentered="1"/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Executive Dashboard</vt:lpstr>
      <vt:lpstr>Daily Order Tracker</vt:lpstr>
      <vt:lpstr>Hourly_Helper</vt:lpstr>
      <vt:lpstr>Kitchen Operations Tracker</vt:lpstr>
      <vt:lpstr>Food Preparation Monitor</vt:lpstr>
      <vt:lpstr>Rider Performance Tracker</vt:lpstr>
      <vt:lpstr>Zone Performance</vt:lpstr>
      <vt:lpstr>Inventory Tracker</vt:lpstr>
      <vt:lpstr>Rider Attendance</vt:lpstr>
      <vt:lpstr>Customer Complaints</vt:lpstr>
      <vt:lpstr>Cancellation &amp; Refund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riju ahmed</cp:lastModifiedBy>
  <cp:revision>1</cp:revision>
  <dcterms:created xsi:type="dcterms:W3CDTF">2026-09-17T04:41:26Z</dcterms:created>
  <dcterms:modified xsi:type="dcterms:W3CDTF">2026-09-17T10:31:30Z</dcterms:modified>
  <dc:language>en-US</dc:language>
</cp:coreProperties>
</file>